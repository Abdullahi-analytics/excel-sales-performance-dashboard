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41D4BC162A1D98D/Dokumente/Excel Project/"/>
    </mc:Choice>
  </mc:AlternateContent>
  <xr:revisionPtr revIDLastSave="304" documentId="14_{BCD58970-B3BF-48D2-B2B3-5A52CE9B6EA8}" xr6:coauthVersionLast="47" xr6:coauthVersionMax="47" xr10:uidLastSave="{A28513EE-E0A3-4346-86FF-1917661FE00E}"/>
  <bookViews>
    <workbookView xWindow="-120" yWindow="-120" windowWidth="20730" windowHeight="11040" activeTab="3" xr2:uid="{07BCDFB8-11AF-49EF-ACBF-A1475CE7726B}"/>
  </bookViews>
  <sheets>
    <sheet name="Dashboard" sheetId="5" r:id="rId1"/>
    <sheet name="Pivot" sheetId="4" r:id="rId2"/>
    <sheet name="Raw Data" sheetId="2" r:id="rId3"/>
    <sheet name="Original" sheetId="1" r:id="rId4"/>
  </sheets>
  <definedNames>
    <definedName name="_xlcn.WorksheetConnection_LMSSalesDataTWPD.xlsxTable11" hidden="1">Table1[]</definedName>
    <definedName name="Slicer_City">#N/A</definedName>
  </definedNames>
  <calcPr calcId="191029"/>
  <pivotCaches>
    <pivotCache cacheId="237" r:id="rId5"/>
    <pivotCache cacheId="240" r:id="rId6"/>
    <pivotCache cacheId="243" r:id="rId7"/>
    <pivotCache cacheId="246" r:id="rId8"/>
    <pivotCache cacheId="249" r:id="rId9"/>
    <pivotCache cacheId="252" r:id="rId10"/>
    <pivotCache cacheId="255" r:id="rId11"/>
    <pivotCache cacheId="258" r:id="rId12"/>
    <pivotCache cacheId="261" r:id="rId13"/>
    <pivotCache cacheId="264" r:id="rId14"/>
    <pivotCache cacheId="267" r:id="rId15"/>
    <pivotCache cacheId="270" r:id="rId16"/>
    <pivotCache cacheId="273" r:id="rId17"/>
    <pivotCache cacheId="276" r:id="rId18"/>
    <pivotCache cacheId="279" r:id="rId19"/>
    <pivotCache cacheId="282" r:id="rId20"/>
    <pivotCache cacheId="285" r:id="rId21"/>
    <pivotCache cacheId="288" r:id="rId22"/>
  </pivotCaches>
  <extLst>
    <ext xmlns:x14="http://schemas.microsoft.com/office/spreadsheetml/2009/9/main" uri="{876F7934-8845-4945-9796-88D515C7AA90}">
      <x14:pivotCaches>
        <pivotCache cacheId="18"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LMS Sales-Data TWPD.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4" i="4" l="1"/>
  <c r="X30" i="2"/>
  <c r="X26" i="2"/>
  <c r="Y14" i="2"/>
  <c r="Y13"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L2" i="2"/>
  <c r="N2" i="2" s="1"/>
  <c r="L3" i="2"/>
  <c r="N3" i="2" s="1"/>
  <c r="L4" i="2"/>
  <c r="N4" i="2" s="1"/>
  <c r="L5" i="2"/>
  <c r="N5" i="2" s="1"/>
  <c r="L6" i="2"/>
  <c r="L7" i="2"/>
  <c r="N7" i="2" s="1"/>
  <c r="L8" i="2"/>
  <c r="N8" i="2" s="1"/>
  <c r="L9" i="2"/>
  <c r="N9" i="2" s="1"/>
  <c r="L10" i="2"/>
  <c r="L11" i="2"/>
  <c r="N11" i="2" s="1"/>
  <c r="L12" i="2"/>
  <c r="N12" i="2" s="1"/>
  <c r="L13" i="2"/>
  <c r="N13" i="2" s="1"/>
  <c r="L14" i="2"/>
  <c r="N14" i="2" s="1"/>
  <c r="L15" i="2"/>
  <c r="N15" i="2" s="1"/>
  <c r="L16" i="2"/>
  <c r="N16" i="2" s="1"/>
  <c r="L17" i="2"/>
  <c r="N17" i="2" s="1"/>
  <c r="L18" i="2"/>
  <c r="L19" i="2"/>
  <c r="N19" i="2" s="1"/>
  <c r="L20" i="2"/>
  <c r="N20" i="2" s="1"/>
  <c r="L21" i="2"/>
  <c r="N21" i="2" s="1"/>
  <c r="L22" i="2"/>
  <c r="L23" i="2"/>
  <c r="N23" i="2" s="1"/>
  <c r="L24" i="2"/>
  <c r="N24" i="2" s="1"/>
  <c r="L25" i="2"/>
  <c r="N25" i="2" s="1"/>
  <c r="L26" i="2"/>
  <c r="L27" i="2"/>
  <c r="N27" i="2" s="1"/>
  <c r="L28" i="2"/>
  <c r="N28" i="2" s="1"/>
  <c r="L29" i="2"/>
  <c r="N29" i="2" s="1"/>
  <c r="L30" i="2"/>
  <c r="L31" i="2"/>
  <c r="N31" i="2" s="1"/>
  <c r="L32" i="2"/>
  <c r="N32" i="2" s="1"/>
  <c r="L33" i="2"/>
  <c r="N33" i="2" s="1"/>
  <c r="L34" i="2"/>
  <c r="L35" i="2"/>
  <c r="N35" i="2" s="1"/>
  <c r="L36" i="2"/>
  <c r="N36" i="2" s="1"/>
  <c r="L37" i="2"/>
  <c r="N37" i="2" s="1"/>
  <c r="L38" i="2"/>
  <c r="L39" i="2"/>
  <c r="N39" i="2" s="1"/>
  <c r="L40" i="2"/>
  <c r="N40" i="2" s="1"/>
  <c r="L41" i="2"/>
  <c r="N41" i="2" s="1"/>
  <c r="L42" i="2"/>
  <c r="L43" i="2"/>
  <c r="N43" i="2" s="1"/>
  <c r="L44" i="2"/>
  <c r="N44" i="2" s="1"/>
  <c r="L45" i="2"/>
  <c r="N45" i="2" s="1"/>
  <c r="L46" i="2"/>
  <c r="N46" i="2" s="1"/>
  <c r="L47" i="2"/>
  <c r="N47" i="2" s="1"/>
  <c r="L48" i="2"/>
  <c r="N48" i="2" s="1"/>
  <c r="L49" i="2"/>
  <c r="N49" i="2" s="1"/>
  <c r="L50"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O29" i="2" l="1"/>
  <c r="O45" i="2"/>
  <c r="O13" i="2"/>
  <c r="N26" i="2"/>
  <c r="O26" i="2" s="1"/>
  <c r="O41" i="2"/>
  <c r="O25" i="2"/>
  <c r="O9" i="2"/>
  <c r="O42" i="2"/>
  <c r="O14" i="2"/>
  <c r="N42" i="2"/>
  <c r="N10" i="2"/>
  <c r="O10" i="2" s="1"/>
  <c r="O37" i="2"/>
  <c r="O21" i="2"/>
  <c r="O5" i="2"/>
  <c r="O46" i="2"/>
  <c r="N30" i="2"/>
  <c r="O30" i="2" s="1"/>
  <c r="O49" i="2"/>
  <c r="O33" i="2"/>
  <c r="O17" i="2"/>
  <c r="O4" i="2"/>
  <c r="O44" i="2"/>
  <c r="O40" i="2"/>
  <c r="O36" i="2"/>
  <c r="O32" i="2"/>
  <c r="O28" i="2"/>
  <c r="O24" i="2"/>
  <c r="O20" i="2"/>
  <c r="O16" i="2"/>
  <c r="O12" i="2"/>
  <c r="O8" i="2"/>
  <c r="N38" i="2"/>
  <c r="O38" i="2" s="1"/>
  <c r="N22" i="2"/>
  <c r="O22" i="2" s="1"/>
  <c r="N6" i="2"/>
  <c r="O6" i="2" s="1"/>
  <c r="O47" i="2"/>
  <c r="O43" i="2"/>
  <c r="O39" i="2"/>
  <c r="O35" i="2"/>
  <c r="O31" i="2"/>
  <c r="O27" i="2"/>
  <c r="O23" i="2"/>
  <c r="O19" i="2"/>
  <c r="O15" i="2"/>
  <c r="O11" i="2"/>
  <c r="O7" i="2"/>
  <c r="O3" i="2"/>
  <c r="O48" i="2"/>
  <c r="N50" i="2"/>
  <c r="O50" i="2" s="1"/>
  <c r="N34" i="2"/>
  <c r="O34" i="2" s="1"/>
  <c r="N18" i="2"/>
  <c r="O18" i="2" s="1"/>
  <c r="O2" i="2"/>
  <c r="X18" i="2" l="1"/>
  <c r="X22" i="2"/>
  <c r="U2" i="2"/>
  <c r="Y6" i="2"/>
  <c r="Y9" i="2"/>
  <c r="Y7" i="2"/>
  <c r="Y8" i="2"/>
  <c r="R34" i="2"/>
  <c r="V34" i="2" s="1"/>
  <c r="U34" i="2"/>
  <c r="R23" i="2"/>
  <c r="V23" i="2" s="1"/>
  <c r="U23" i="2"/>
  <c r="R39" i="2"/>
  <c r="V39" i="2" s="1"/>
  <c r="U39" i="2"/>
  <c r="R32" i="2"/>
  <c r="V32" i="2" s="1"/>
  <c r="U32" i="2"/>
  <c r="R30" i="2"/>
  <c r="V30" i="2" s="1"/>
  <c r="U30" i="2"/>
  <c r="R26" i="2"/>
  <c r="V26" i="2" s="1"/>
  <c r="U26" i="2"/>
  <c r="R11" i="2"/>
  <c r="V11" i="2" s="1"/>
  <c r="U11" i="2"/>
  <c r="R38" i="2"/>
  <c r="V38" i="2" s="1"/>
  <c r="U38" i="2"/>
  <c r="R36" i="2"/>
  <c r="V36" i="2" s="1"/>
  <c r="U36" i="2"/>
  <c r="R48" i="2"/>
  <c r="V48" i="2" s="1"/>
  <c r="U48" i="2"/>
  <c r="R15" i="2"/>
  <c r="V15" i="2" s="1"/>
  <c r="U15" i="2"/>
  <c r="R31" i="2"/>
  <c r="V31" i="2" s="1"/>
  <c r="U31" i="2"/>
  <c r="R47" i="2"/>
  <c r="V47" i="2" s="1"/>
  <c r="U47" i="2"/>
  <c r="R8" i="2"/>
  <c r="V8" i="2" s="1"/>
  <c r="U8" i="2"/>
  <c r="R24" i="2"/>
  <c r="V24" i="2" s="1"/>
  <c r="U24" i="2"/>
  <c r="R40" i="2"/>
  <c r="V40" i="2" s="1"/>
  <c r="U40" i="2"/>
  <c r="R33" i="2"/>
  <c r="V33" i="2" s="1"/>
  <c r="U33" i="2"/>
  <c r="R5" i="2"/>
  <c r="V5" i="2" s="1"/>
  <c r="U5" i="2"/>
  <c r="R25" i="2"/>
  <c r="V25" i="2" s="1"/>
  <c r="U25" i="2"/>
  <c r="R45" i="2"/>
  <c r="V45" i="2" s="1"/>
  <c r="U45" i="2"/>
  <c r="R7" i="2"/>
  <c r="V7" i="2" s="1"/>
  <c r="U7" i="2"/>
  <c r="R22" i="2"/>
  <c r="V22" i="2" s="1"/>
  <c r="U22" i="2"/>
  <c r="R16" i="2"/>
  <c r="V16" i="2" s="1"/>
  <c r="U16" i="2"/>
  <c r="R4" i="2"/>
  <c r="V4" i="2" s="1"/>
  <c r="U4" i="2"/>
  <c r="R37" i="2"/>
  <c r="V37" i="2" s="1"/>
  <c r="U37" i="2"/>
  <c r="R42" i="2"/>
  <c r="V42" i="2" s="1"/>
  <c r="U42" i="2"/>
  <c r="R50" i="2"/>
  <c r="V50" i="2" s="1"/>
  <c r="U50" i="2"/>
  <c r="R27" i="2"/>
  <c r="V27" i="2" s="1"/>
  <c r="U27" i="2"/>
  <c r="R43" i="2"/>
  <c r="V43" i="2" s="1"/>
  <c r="U43" i="2"/>
  <c r="R20" i="2"/>
  <c r="V20" i="2" s="1"/>
  <c r="U20" i="2"/>
  <c r="R17" i="2"/>
  <c r="V17" i="2" s="1"/>
  <c r="U17" i="2"/>
  <c r="R46" i="2"/>
  <c r="V46" i="2" s="1"/>
  <c r="U46" i="2"/>
  <c r="R10" i="2"/>
  <c r="V10" i="2" s="1"/>
  <c r="U10" i="2"/>
  <c r="R9" i="2"/>
  <c r="V9" i="2" s="1"/>
  <c r="U9" i="2"/>
  <c r="R13" i="2"/>
  <c r="V13" i="2" s="1"/>
  <c r="U13" i="2"/>
  <c r="R18" i="2"/>
  <c r="V18" i="2" s="1"/>
  <c r="U18" i="2"/>
  <c r="R3" i="2"/>
  <c r="V3" i="2" s="1"/>
  <c r="U3" i="2"/>
  <c r="R19" i="2"/>
  <c r="V19" i="2" s="1"/>
  <c r="U19" i="2"/>
  <c r="R35" i="2"/>
  <c r="V35" i="2" s="1"/>
  <c r="U35" i="2"/>
  <c r="R6" i="2"/>
  <c r="V6" i="2" s="1"/>
  <c r="U6" i="2"/>
  <c r="R12" i="2"/>
  <c r="V12" i="2" s="1"/>
  <c r="U12" i="2"/>
  <c r="R28" i="2"/>
  <c r="V28" i="2" s="1"/>
  <c r="U28" i="2"/>
  <c r="R44" i="2"/>
  <c r="V44" i="2" s="1"/>
  <c r="U44" i="2"/>
  <c r="R49" i="2"/>
  <c r="V49" i="2" s="1"/>
  <c r="U49" i="2"/>
  <c r="R21" i="2"/>
  <c r="V21" i="2" s="1"/>
  <c r="U21" i="2"/>
  <c r="R14" i="2"/>
  <c r="V14" i="2" s="1"/>
  <c r="U14" i="2"/>
  <c r="R41" i="2"/>
  <c r="V41" i="2" s="1"/>
  <c r="U41" i="2"/>
  <c r="R29" i="2"/>
  <c r="V29" i="2" s="1"/>
  <c r="U29" i="2"/>
  <c r="R2" i="2"/>
  <c r="Y10" i="2" l="1"/>
  <c r="V2" i="2"/>
  <c r="Y12" i="2"/>
  <c r="Y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F03A6F-0140-411B-8B4A-5714B68B32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3EF388A-9916-4B9D-9D01-FF0278CA5A49}" name="WorksheetConnection_LMS Sales-Data TWPD.xlsx!Table1" type="102" refreshedVersion="8" minRefreshableVersion="5">
    <extLst>
      <ext xmlns:x15="http://schemas.microsoft.com/office/spreadsheetml/2010/11/main" uri="{DE250136-89BD-433C-8126-D09CA5730AF9}">
        <x15:connection id="Table1" autoDelete="1">
          <x15:rangePr sourceName="_xlcn.WorksheetConnection_LMSSalesDataTWPD.xlsxTable11"/>
        </x15:connection>
      </ext>
    </extLst>
  </connection>
</connections>
</file>

<file path=xl/sharedStrings.xml><?xml version="1.0" encoding="utf-8"?>
<sst xmlns="http://schemas.openxmlformats.org/spreadsheetml/2006/main" count="957" uniqueCount="147">
  <si>
    <t>Order ID</t>
  </si>
  <si>
    <t>Order Date</t>
  </si>
  <si>
    <t>Salesperson</t>
  </si>
  <si>
    <t>Product</t>
  </si>
  <si>
    <t>Category</t>
  </si>
  <si>
    <t>Unit Price</t>
  </si>
  <si>
    <t>Discount %</t>
  </si>
  <si>
    <t>Unit Cost</t>
  </si>
  <si>
    <t>Customer Type</t>
  </si>
  <si>
    <t>Payment Method</t>
  </si>
  <si>
    <t>ORD001</t>
  </si>
  <si>
    <t>Ade</t>
  </si>
  <si>
    <t>Lagos</t>
  </si>
  <si>
    <t>Laptop</t>
  </si>
  <si>
    <t>Electronics</t>
  </si>
  <si>
    <t>Retail</t>
  </si>
  <si>
    <t>Card</t>
  </si>
  <si>
    <t>ORD002</t>
  </si>
  <si>
    <t>Chioma</t>
  </si>
  <si>
    <t>Abuja</t>
  </si>
  <si>
    <t>Office Chair</t>
  </si>
  <si>
    <t>Furniture</t>
  </si>
  <si>
    <t>Corporate</t>
  </si>
  <si>
    <t>Transfer</t>
  </si>
  <si>
    <t>ORD003</t>
  </si>
  <si>
    <t>Musa</t>
  </si>
  <si>
    <t>Kano</t>
  </si>
  <si>
    <t>Printer</t>
  </si>
  <si>
    <t>Cash</t>
  </si>
  <si>
    <t>Tolu</t>
  </si>
  <si>
    <t>Desk</t>
  </si>
  <si>
    <t>ORD005</t>
  </si>
  <si>
    <t>Ada</t>
  </si>
  <si>
    <t>Port Harcourt</t>
  </si>
  <si>
    <t>Headset</t>
  </si>
  <si>
    <t>Accessories</t>
  </si>
  <si>
    <t>Emeka</t>
  </si>
  <si>
    <t>Enugu</t>
  </si>
  <si>
    <t>Monitor</t>
  </si>
  <si>
    <t>ORD007</t>
  </si>
  <si>
    <t>Fatima</t>
  </si>
  <si>
    <t>Kaduna</t>
  </si>
  <si>
    <t>Keyboard</t>
  </si>
  <si>
    <t>ORD008</t>
  </si>
  <si>
    <t>Kunle</t>
  </si>
  <si>
    <t>ORD009</t>
  </si>
  <si>
    <t>Seyi</t>
  </si>
  <si>
    <t>Ibadan</t>
  </si>
  <si>
    <t>ORD010</t>
  </si>
  <si>
    <t>Zainab</t>
  </si>
  <si>
    <t>Mouse</t>
  </si>
  <si>
    <t>ORD011</t>
  </si>
  <si>
    <t>ORD012</t>
  </si>
  <si>
    <t>ORD013</t>
  </si>
  <si>
    <t>ORD014</t>
  </si>
  <si>
    <t>ORD015</t>
  </si>
  <si>
    <t>ORD016</t>
  </si>
  <si>
    <t>ORD017</t>
  </si>
  <si>
    <t>ORD018</t>
  </si>
  <si>
    <t>ORD019</t>
  </si>
  <si>
    <t>ORD020</t>
  </si>
  <si>
    <t>ORD021</t>
  </si>
  <si>
    <t>ORD022</t>
  </si>
  <si>
    <t>ORD024</t>
  </si>
  <si>
    <t>ORD025</t>
  </si>
  <si>
    <t>ORD026</t>
  </si>
  <si>
    <t>ORD027</t>
  </si>
  <si>
    <t>ORD028</t>
  </si>
  <si>
    <t>ORD029</t>
  </si>
  <si>
    <t>ORD030</t>
  </si>
  <si>
    <t>ORD031</t>
  </si>
  <si>
    <t>ORD032</t>
  </si>
  <si>
    <t>ORD033</t>
  </si>
  <si>
    <t>ORD034</t>
  </si>
  <si>
    <t>ORD036</t>
  </si>
  <si>
    <t>ORD037</t>
  </si>
  <si>
    <t>ORD038</t>
  </si>
  <si>
    <t>ORD040</t>
  </si>
  <si>
    <t>ORD041</t>
  </si>
  <si>
    <t>ORD042</t>
  </si>
  <si>
    <t>ORD044</t>
  </si>
  <si>
    <t>ORD045</t>
  </si>
  <si>
    <t>ORD046</t>
  </si>
  <si>
    <t>ORD047</t>
  </si>
  <si>
    <t>ORD048</t>
  </si>
  <si>
    <t>ORD049</t>
  </si>
  <si>
    <t>ORD050</t>
  </si>
  <si>
    <t>Ship Date</t>
  </si>
  <si>
    <t>City</t>
  </si>
  <si>
    <t>Ikeja</t>
  </si>
  <si>
    <t>Town</t>
  </si>
  <si>
    <t>Garki</t>
  </si>
  <si>
    <t>Wudil</t>
  </si>
  <si>
    <t>Rumuokoro</t>
  </si>
  <si>
    <t>Nsukka</t>
  </si>
  <si>
    <t>Ojoo</t>
  </si>
  <si>
    <t>Kachia</t>
  </si>
  <si>
    <t>ORD0 06</t>
  </si>
  <si>
    <t xml:space="preserve">Kunle  </t>
  </si>
  <si>
    <t>Gar  ki</t>
  </si>
  <si>
    <t>Wud il</t>
  </si>
  <si>
    <t>Hea dset</t>
  </si>
  <si>
    <t>35  000</t>
  </si>
  <si>
    <t xml:space="preserve">Quantity Sold </t>
  </si>
  <si>
    <t>N/A</t>
  </si>
  <si>
    <t>Discount Amount</t>
  </si>
  <si>
    <t>Total Cost</t>
  </si>
  <si>
    <t>Total Revenue</t>
  </si>
  <si>
    <t>WudIl</t>
  </si>
  <si>
    <t>GarKi</t>
  </si>
  <si>
    <t>ORD023</t>
  </si>
  <si>
    <t>ORD035</t>
  </si>
  <si>
    <t>ORD039</t>
  </si>
  <si>
    <t>ORD043</t>
  </si>
  <si>
    <t>ORD006</t>
  </si>
  <si>
    <t>ORD004</t>
  </si>
  <si>
    <t>Date Valid</t>
  </si>
  <si>
    <t>Gross Sales</t>
  </si>
  <si>
    <t>Revenue</t>
  </si>
  <si>
    <t>Profit</t>
  </si>
  <si>
    <t>Average Revenue</t>
  </si>
  <si>
    <t>Highest Reveune from a Single Order</t>
  </si>
  <si>
    <t>Lowest Revenue from a Singer Order</t>
  </si>
  <si>
    <t>Total Profit</t>
  </si>
  <si>
    <t>Highest Profit</t>
  </si>
  <si>
    <t>Lowest Profit</t>
  </si>
  <si>
    <t>Total Quantity Sold</t>
  </si>
  <si>
    <t>Number of Sold</t>
  </si>
  <si>
    <t>Order Value Category</t>
  </si>
  <si>
    <t>Profit Status</t>
  </si>
  <si>
    <t>Total Revenue Generated from Electonics</t>
  </si>
  <si>
    <t>Total Revenue Generated in Lagos</t>
  </si>
  <si>
    <t>Number or Transaction paid by Card</t>
  </si>
  <si>
    <t>Number of Electronics Transactions Purchase by Corporate Customers</t>
  </si>
  <si>
    <t>Sum of Revenue</t>
  </si>
  <si>
    <t>Sum of Profit</t>
  </si>
  <si>
    <t>Sum of Quantity Sold</t>
  </si>
  <si>
    <t>Count of Orders</t>
  </si>
  <si>
    <t>Jan</t>
  </si>
  <si>
    <t>Feb</t>
  </si>
  <si>
    <t>Mar</t>
  </si>
  <si>
    <t>Apr</t>
  </si>
  <si>
    <t>May</t>
  </si>
  <si>
    <t>Count of Order ID</t>
  </si>
  <si>
    <t>Total Order</t>
  </si>
  <si>
    <t>Month</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</si>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</sst>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6A]#,##0.00;[Red][$₦-46A]#,##0.00"/>
    <numFmt numFmtId="165" formatCode="0.00,,\ &quot;M&quot;"/>
    <numFmt numFmtId="166" formatCode="0.00,,&quot;M&quot;"/>
    <numFmt numFmtId="167" formatCode="&quot;#&quot;0.00,,\ &quot;M&quot;"/>
  </numFmts>
  <fonts count="7"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sz val="16"/>
      <color theme="1"/>
      <name val="Arial Black"/>
      <family val="2"/>
    </font>
    <font>
      <b/>
      <sz val="11"/>
      <color theme="1" tint="0.249977111117893"/>
      <name val="Aptos Narrow"/>
      <family val="2"/>
      <scheme val="minor"/>
    </font>
    <font>
      <b/>
      <sz val="11"/>
      <color theme="1" tint="0.1499984740745262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3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9" fontId="0" fillId="0" borderId="0" xfId="0" applyNumberFormat="1" applyAlignment="1">
      <alignment vertical="center" wrapText="1"/>
    </xf>
    <xf numFmtId="14" fontId="1" fillId="0" borderId="0" xfId="0" applyNumberFormat="1" applyFont="1" applyAlignment="1">
      <alignment horizontal="center" vertical="center" wrapText="1"/>
    </xf>
    <xf numFmtId="14" fontId="0" fillId="0" borderId="0" xfId="0" applyNumberFormat="1" applyAlignment="1">
      <alignment vertical="center" wrapText="1"/>
    </xf>
    <xf numFmtId="14" fontId="0" fillId="0" borderId="0" xfId="0" applyNumberFormat="1"/>
    <xf numFmtId="0" fontId="0" fillId="0" borderId="0" xfId="0" applyAlignment="1">
      <alignment vertical="center"/>
    </xf>
    <xf numFmtId="14" fontId="0" fillId="0" borderId="0" xfId="0" applyNumberFormat="1" applyAlignment="1">
      <alignment vertical="center"/>
    </xf>
    <xf numFmtId="15" fontId="0" fillId="0" borderId="0" xfId="0" applyNumberFormat="1" applyAlignment="1">
      <alignment vertical="center"/>
    </xf>
    <xf numFmtId="9" fontId="0" fillId="0" borderId="0" xfId="0" applyNumberFormat="1" applyAlignment="1">
      <alignment vertical="center"/>
    </xf>
    <xf numFmtId="164" fontId="1" fillId="0" borderId="0" xfId="0" applyNumberFormat="1" applyFont="1" applyAlignment="1">
      <alignment horizontal="center" vertical="center" wrapText="1"/>
    </xf>
    <xf numFmtId="164" fontId="0" fillId="0" borderId="0" xfId="0" applyNumberFormat="1" applyAlignment="1">
      <alignment vertical="center" wrapText="1"/>
    </xf>
    <xf numFmtId="164" fontId="0" fillId="0" borderId="0" xfId="0" applyNumberFormat="1"/>
    <xf numFmtId="164" fontId="0" fillId="0" borderId="0" xfId="0" applyNumberFormat="1" applyAlignment="1">
      <alignment vertical="center"/>
    </xf>
    <xf numFmtId="164" fontId="0" fillId="0" borderId="0" xfId="1" applyNumberFormat="1" applyFont="1" applyAlignment="1">
      <alignment vertical="center" wrapText="1"/>
    </xf>
    <xf numFmtId="164" fontId="0" fillId="0" borderId="0" xfId="1" applyNumberFormat="1" applyFont="1" applyAlignment="1">
      <alignment vertical="center"/>
    </xf>
    <xf numFmtId="0" fontId="0" fillId="0" borderId="1" xfId="0"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4" fillId="0" borderId="0" xfId="0" applyFont="1"/>
    <xf numFmtId="164" fontId="1" fillId="0" borderId="1" xfId="0" applyNumberFormat="1" applyFont="1" applyBorder="1"/>
    <xf numFmtId="0" fontId="1" fillId="0" borderId="1" xfId="0" applyFont="1" applyBorder="1"/>
    <xf numFmtId="0" fontId="5" fillId="2" borderId="1" xfId="0" applyFont="1" applyFill="1" applyBorder="1"/>
    <xf numFmtId="0" fontId="6" fillId="2" borderId="1" xfId="0" applyFont="1" applyFill="1" applyBorder="1"/>
    <xf numFmtId="167" fontId="0" fillId="0" borderId="0" xfId="0" applyNumberFormat="1"/>
    <xf numFmtId="10" fontId="0" fillId="0" borderId="0" xfId="1" applyNumberFormat="1" applyFont="1"/>
    <xf numFmtId="10" fontId="0" fillId="0" borderId="0" xfId="1" applyNumberFormat="1" applyFont="1" applyBorder="1"/>
    <xf numFmtId="0" fontId="0" fillId="0" borderId="0" xfId="0" applyNumberFormat="1"/>
    <xf numFmtId="0" fontId="1" fillId="3" borderId="0" xfId="0" applyFont="1" applyFill="1"/>
  </cellXfs>
  <cellStyles count="2">
    <cellStyle name="Normal" xfId="0" builtinId="0"/>
    <cellStyle name="Percent" xfId="1" builtinId="5"/>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46A]#,##0.00;[Red][$₦-46A]#,##0.00"/>
      <alignment horizontal="general" vertical="center" textRotation="0" wrapText="1" indent="0" justifyLastLine="0" shrinkToFit="0" readingOrder="0"/>
    </dxf>
    <dxf>
      <numFmt numFmtId="164" formatCode="[$₦-46A]#,##0.00;[Red][$₦-46A]#,##0.00"/>
      <alignment horizontal="general" vertical="center" textRotation="0" wrapText="1" indent="0" justifyLastLine="0" shrinkToFit="0" readingOrder="0"/>
    </dxf>
    <dxf>
      <numFmt numFmtId="164" formatCode="[$₦-46A]#,##0.00;[Red][$₦-46A]#,##0.00"/>
      <alignment horizontal="general" vertical="center" textRotation="0" wrapText="1" indent="0" justifyLastLine="0" shrinkToFit="0" readingOrder="0"/>
    </dxf>
    <dxf>
      <numFmt numFmtId="164" formatCode="[$₦-46A]#,##0.00;[Red][$₦-46A]#,##0.00"/>
      <alignment horizontal="general" vertical="center" textRotation="0" wrapText="1" indent="0" justifyLastLine="0" shrinkToFit="0" readingOrder="0"/>
    </dxf>
    <dxf>
      <numFmt numFmtId="164" formatCode="[$₦-46A]#,##0.00;[Red][$₦-46A]#,##0.00"/>
      <alignment horizontal="general" vertical="center" textRotation="0" wrapText="1" indent="0" justifyLastLine="0" shrinkToFit="0" readingOrder="0"/>
    </dxf>
    <dxf>
      <numFmt numFmtId="13" formatCode="0%"/>
      <alignment horizontal="general" vertical="center" textRotation="0" wrapText="1" indent="0" justifyLastLine="0" shrinkToFit="0" readingOrder="0"/>
    </dxf>
    <dxf>
      <numFmt numFmtId="164" formatCode="[$₦-46A]#,##0.00;[Red][$₦-46A]#,##0.00"/>
      <alignment horizontal="general" vertical="center" textRotation="0" wrapText="1" indent="0" justifyLastLine="0" shrinkToFit="0" readingOrder="0"/>
    </dxf>
    <dxf>
      <numFmt numFmtId="164" formatCode="[$₦-46A]#,##0.00;[Red][$₦-46A]#,##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
      <alignment horizontal="general" vertical="center" textRotation="0" wrapText="1" indent="0" justifyLastLine="0" shrinkToFit="0" readingOrder="0"/>
    </dxf>
    <dxf>
      <numFmt numFmtId="19" formatCode="dd/mm/yy"/>
      <alignment horizontal="general" vertical="center" textRotation="0" wrapText="1" indent="0" justifyLastLine="0" shrinkToFit="0" readingOrder="0"/>
    </dxf>
    <dxf>
      <numFmt numFmtId="19" formatCode="dd/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1.xml"/><Relationship Id="rId32" Type="http://schemas.openxmlformats.org/officeDocument/2006/relationships/customXml" Target="../customXml/item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TWPD.xlsx]Pivot!PivotTable3</c:name>
    <c:fmtId val="39"/>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416870935835"/>
          <c:y val="8.8331866184423999E-2"/>
          <c:w val="0.77791031234906316"/>
          <c:h val="0.88508842028163459"/>
        </c:manualLayout>
      </c:layout>
      <c:barChart>
        <c:barDir val="bar"/>
        <c:grouping val="clustered"/>
        <c:varyColors val="0"/>
        <c:ser>
          <c:idx val="0"/>
          <c:order val="0"/>
          <c:tx>
            <c:strRef>
              <c:f>Pivot!$B$26</c:f>
              <c:strCache>
                <c:ptCount val="1"/>
                <c:pt idx="0">
                  <c:v>Total</c:v>
                </c:pt>
              </c:strCache>
            </c:strRef>
          </c:tx>
          <c:spPr>
            <a:solidFill>
              <a:schemeClr val="accent6"/>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3376-4CD7-965E-3DEE5E97E22F}"/>
              </c:ext>
            </c:extLst>
          </c:dPt>
          <c:dPt>
            <c:idx val="1"/>
            <c:invertIfNegative val="0"/>
            <c:bubble3D val="0"/>
            <c:extLst>
              <c:ext xmlns:c16="http://schemas.microsoft.com/office/drawing/2014/chart" uri="{C3380CC4-5D6E-409C-BE32-E72D297353CC}">
                <c16:uniqueId val="{00000001-3376-4CD7-965E-3DEE5E97E22F}"/>
              </c:ext>
            </c:extLst>
          </c:dPt>
          <c:dPt>
            <c:idx val="2"/>
            <c:invertIfNegative val="0"/>
            <c:bubble3D val="0"/>
            <c:extLst>
              <c:ext xmlns:c16="http://schemas.microsoft.com/office/drawing/2014/chart" uri="{C3380CC4-5D6E-409C-BE32-E72D297353CC}">
                <c16:uniqueId val="{00000002-3376-4CD7-965E-3DEE5E97E2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Pivot!$A$27:$A$29</c:f>
              <c:strCache>
                <c:ptCount val="3"/>
                <c:pt idx="0">
                  <c:v>Accessories</c:v>
                </c:pt>
                <c:pt idx="1">
                  <c:v>Electronics</c:v>
                </c:pt>
                <c:pt idx="2">
                  <c:v>Furniture</c:v>
                </c:pt>
              </c:strCache>
            </c:strRef>
          </c:cat>
          <c:val>
            <c:numRef>
              <c:f>Pivot!$B$27:$B$29</c:f>
              <c:numCache>
                <c:formatCode>0.00,,\ "M"</c:formatCode>
                <c:ptCount val="3"/>
                <c:pt idx="0">
                  <c:v>9268050</c:v>
                </c:pt>
                <c:pt idx="1">
                  <c:v>23784550</c:v>
                </c:pt>
                <c:pt idx="2">
                  <c:v>10199300</c:v>
                </c:pt>
              </c:numCache>
            </c:numRef>
          </c:val>
          <c:extLst>
            <c:ext xmlns:c16="http://schemas.microsoft.com/office/drawing/2014/chart" uri="{C3380CC4-5D6E-409C-BE32-E72D297353CC}">
              <c16:uniqueId val="{00000003-3376-4CD7-965E-3DEE5E97E22F}"/>
            </c:ext>
          </c:extLst>
        </c:ser>
        <c:dLbls>
          <c:dLblPos val="outEnd"/>
          <c:showLegendKey val="0"/>
          <c:showVal val="1"/>
          <c:showCatName val="0"/>
          <c:showSerName val="0"/>
          <c:showPercent val="0"/>
          <c:showBubbleSize val="0"/>
        </c:dLbls>
        <c:gapWidth val="100"/>
        <c:axId val="1169980959"/>
        <c:axId val="561686319"/>
      </c:barChart>
      <c:valAx>
        <c:axId val="561686319"/>
        <c:scaling>
          <c:orientation val="minMax"/>
        </c:scaling>
        <c:delete val="1"/>
        <c:axPos val="b"/>
        <c:numFmt formatCode="0.00,,\ &quot;M&quot;" sourceLinked="1"/>
        <c:majorTickMark val="out"/>
        <c:minorTickMark val="none"/>
        <c:tickLblPos val="nextTo"/>
        <c:crossAx val="1169980959"/>
        <c:crosses val="autoZero"/>
        <c:crossBetween val="between"/>
      </c:valAx>
      <c:catAx>
        <c:axId val="1169980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86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TWPD.xlsx]Pivot!PivotTable6</c:name>
    <c:fmtId val="2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52067804359942"/>
          <c:y val="5.2544380003898307E-2"/>
          <c:w val="0.72318617621703496"/>
          <c:h val="0.87155818221269299"/>
        </c:manualLayout>
      </c:layout>
      <c:barChart>
        <c:barDir val="bar"/>
        <c:grouping val="clustered"/>
        <c:varyColors val="0"/>
        <c:ser>
          <c:idx val="0"/>
          <c:order val="0"/>
          <c:tx>
            <c:strRef>
              <c:f>Pivot!$B$44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Pivot!$A$45:$A$49</c:f>
              <c:strCache>
                <c:ptCount val="5"/>
                <c:pt idx="0">
                  <c:v>Printer</c:v>
                </c:pt>
                <c:pt idx="1">
                  <c:v>Desk</c:v>
                </c:pt>
                <c:pt idx="2">
                  <c:v>Office Chair</c:v>
                </c:pt>
                <c:pt idx="3">
                  <c:v>Monitor</c:v>
                </c:pt>
                <c:pt idx="4">
                  <c:v>Laptop</c:v>
                </c:pt>
              </c:strCache>
            </c:strRef>
          </c:cat>
          <c:val>
            <c:numRef>
              <c:f>Pivot!$B$45:$B$49</c:f>
              <c:numCache>
                <c:formatCode>0.00,,\ "M"</c:formatCode>
                <c:ptCount val="5"/>
                <c:pt idx="0">
                  <c:v>3949750</c:v>
                </c:pt>
                <c:pt idx="1">
                  <c:v>4750800</c:v>
                </c:pt>
                <c:pt idx="2">
                  <c:v>5448500</c:v>
                </c:pt>
                <c:pt idx="3">
                  <c:v>8112300</c:v>
                </c:pt>
                <c:pt idx="4">
                  <c:v>11722500</c:v>
                </c:pt>
              </c:numCache>
            </c:numRef>
          </c:val>
          <c:extLst>
            <c:ext xmlns:c16="http://schemas.microsoft.com/office/drawing/2014/chart" uri="{C3380CC4-5D6E-409C-BE32-E72D297353CC}">
              <c16:uniqueId val="{00000000-F7DA-434C-B8AB-3D5C64399309}"/>
            </c:ext>
          </c:extLst>
        </c:ser>
        <c:dLbls>
          <c:dLblPos val="outEnd"/>
          <c:showLegendKey val="0"/>
          <c:showVal val="1"/>
          <c:showCatName val="0"/>
          <c:showSerName val="0"/>
          <c:showPercent val="0"/>
          <c:showBubbleSize val="0"/>
        </c:dLbls>
        <c:gapWidth val="219"/>
        <c:axId val="2032530592"/>
        <c:axId val="1054711600"/>
      </c:barChart>
      <c:catAx>
        <c:axId val="203253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711600"/>
        <c:crosses val="autoZero"/>
        <c:auto val="1"/>
        <c:lblAlgn val="ctr"/>
        <c:lblOffset val="100"/>
        <c:noMultiLvlLbl val="0"/>
      </c:catAx>
      <c:valAx>
        <c:axId val="1054711600"/>
        <c:scaling>
          <c:orientation val="minMax"/>
        </c:scaling>
        <c:delete val="1"/>
        <c:axPos val="b"/>
        <c:numFmt formatCode="0.00,,\ &quot;M&quot;" sourceLinked="1"/>
        <c:majorTickMark val="none"/>
        <c:minorTickMark val="none"/>
        <c:tickLblPos val="nextTo"/>
        <c:crossAx val="203253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TWPD.xlsx]Pivot!PivotTable20</c:name>
    <c:fmtId val="46"/>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01794126906272E-2"/>
          <c:y val="5.8666642029756626E-2"/>
          <c:w val="0.91359641174618744"/>
          <c:h val="0.81270265083353244"/>
        </c:manualLayout>
      </c:layout>
      <c:lineChart>
        <c:grouping val="standard"/>
        <c:varyColors val="0"/>
        <c:ser>
          <c:idx val="0"/>
          <c:order val="0"/>
          <c:tx>
            <c:strRef>
              <c:f>Pivot!$N$111</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Pivot!$M$112:$M$116</c:f>
              <c:strCache>
                <c:ptCount val="5"/>
                <c:pt idx="0">
                  <c:v>Jan</c:v>
                </c:pt>
                <c:pt idx="1">
                  <c:v>Feb</c:v>
                </c:pt>
                <c:pt idx="2">
                  <c:v>Mar</c:v>
                </c:pt>
                <c:pt idx="3">
                  <c:v>Apr</c:v>
                </c:pt>
                <c:pt idx="4">
                  <c:v>May</c:v>
                </c:pt>
              </c:strCache>
            </c:strRef>
          </c:cat>
          <c:val>
            <c:numRef>
              <c:f>Pivot!$N$112:$N$116</c:f>
              <c:numCache>
                <c:formatCode>0.00,,\ "M"</c:formatCode>
                <c:ptCount val="5"/>
                <c:pt idx="0">
                  <c:v>7612450</c:v>
                </c:pt>
                <c:pt idx="1">
                  <c:v>8320000</c:v>
                </c:pt>
                <c:pt idx="2">
                  <c:v>9695150</c:v>
                </c:pt>
                <c:pt idx="3">
                  <c:v>7547700</c:v>
                </c:pt>
                <c:pt idx="4">
                  <c:v>10076600</c:v>
                </c:pt>
              </c:numCache>
            </c:numRef>
          </c:val>
          <c:smooth val="0"/>
          <c:extLst>
            <c:ext xmlns:c16="http://schemas.microsoft.com/office/drawing/2014/chart" uri="{C3380CC4-5D6E-409C-BE32-E72D297353CC}">
              <c16:uniqueId val="{00000000-8390-48CB-AC08-DA5D237EC6E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22772863"/>
        <c:axId val="561722799"/>
      </c:lineChart>
      <c:catAx>
        <c:axId val="6227728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61722799"/>
        <c:crosses val="autoZero"/>
        <c:auto val="1"/>
        <c:lblAlgn val="ctr"/>
        <c:lblOffset val="100"/>
        <c:noMultiLvlLbl val="0"/>
      </c:catAx>
      <c:valAx>
        <c:axId val="561722799"/>
        <c:scaling>
          <c:orientation val="minMax"/>
        </c:scaling>
        <c:delete val="1"/>
        <c:axPos val="l"/>
        <c:numFmt formatCode="0.00,,\ &quot;M&quot;" sourceLinked="1"/>
        <c:majorTickMark val="none"/>
        <c:minorTickMark val="none"/>
        <c:tickLblPos val="nextTo"/>
        <c:crossAx val="62277286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TWPD.xlsx]Pivot!PivotTable12</c:name>
    <c:fmtId val="46"/>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manualLayout>
          <c:layoutTarget val="inner"/>
          <c:xMode val="edge"/>
          <c:yMode val="edge"/>
          <c:x val="0.26701201340522696"/>
          <c:y val="0.19264698511352812"/>
          <c:w val="0.46994336800859515"/>
          <c:h val="0.75395418776001188"/>
        </c:manualLayout>
      </c:layout>
      <c:pieChart>
        <c:varyColors val="1"/>
        <c:ser>
          <c:idx val="0"/>
          <c:order val="0"/>
          <c:tx>
            <c:strRef>
              <c:f>Pivot!$N$89</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C34-4DB1-914E-6A58ECCC9E2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C34-4DB1-914E-6A58ECCC9E2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C34-4DB1-914E-6A58ECCC9E2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Pivot!$M$90:$M$92</c:f>
              <c:strCache>
                <c:ptCount val="3"/>
                <c:pt idx="0">
                  <c:v>Card</c:v>
                </c:pt>
                <c:pt idx="1">
                  <c:v>Cash</c:v>
                </c:pt>
                <c:pt idx="2">
                  <c:v>Transfer</c:v>
                </c:pt>
              </c:strCache>
            </c:strRef>
          </c:cat>
          <c:val>
            <c:numRef>
              <c:f>Pivot!$N$90:$N$92</c:f>
              <c:numCache>
                <c:formatCode>0.00,,"M"</c:formatCode>
                <c:ptCount val="3"/>
                <c:pt idx="0">
                  <c:v>19561300</c:v>
                </c:pt>
                <c:pt idx="1">
                  <c:v>9246800</c:v>
                </c:pt>
                <c:pt idx="2">
                  <c:v>13645800</c:v>
                </c:pt>
              </c:numCache>
            </c:numRef>
          </c:val>
          <c:extLst>
            <c:ext xmlns:c16="http://schemas.microsoft.com/office/drawing/2014/chart" uri="{C3380CC4-5D6E-409C-BE32-E72D297353CC}">
              <c16:uniqueId val="{00000000-3327-4CDD-AC10-C976379571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27766546354536198"/>
          <c:y val="0"/>
          <c:w val="0.45260417496526695"/>
          <c:h val="0.107420179439627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TWPD.xlsx]Pivot!PivotTable1</c:name>
    <c:fmtId val="9"/>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Pivot!$A$10:$A$16</c:f>
              <c:strCache>
                <c:ptCount val="7"/>
                <c:pt idx="0">
                  <c:v>Kaduna</c:v>
                </c:pt>
                <c:pt idx="1">
                  <c:v>Kano</c:v>
                </c:pt>
                <c:pt idx="2">
                  <c:v>Enugu</c:v>
                </c:pt>
                <c:pt idx="3">
                  <c:v>Ibadan</c:v>
                </c:pt>
                <c:pt idx="4">
                  <c:v>Port Harcourt</c:v>
                </c:pt>
                <c:pt idx="5">
                  <c:v>Abuja</c:v>
                </c:pt>
                <c:pt idx="6">
                  <c:v>Lagos</c:v>
                </c:pt>
              </c:strCache>
            </c:strRef>
          </c:cat>
          <c:val>
            <c:numRef>
              <c:f>Pivot!$B$10:$B$16</c:f>
              <c:numCache>
                <c:formatCode>0.00,,\ "M"</c:formatCode>
                <c:ptCount val="7"/>
                <c:pt idx="0">
                  <c:v>2685200</c:v>
                </c:pt>
                <c:pt idx="1">
                  <c:v>3772300</c:v>
                </c:pt>
                <c:pt idx="2">
                  <c:v>4222750</c:v>
                </c:pt>
                <c:pt idx="3">
                  <c:v>4386000</c:v>
                </c:pt>
                <c:pt idx="4">
                  <c:v>4789050</c:v>
                </c:pt>
                <c:pt idx="5">
                  <c:v>8841150</c:v>
                </c:pt>
                <c:pt idx="6">
                  <c:v>14555450</c:v>
                </c:pt>
              </c:numCache>
            </c:numRef>
          </c:val>
          <c:extLst>
            <c:ext xmlns:c16="http://schemas.microsoft.com/office/drawing/2014/chart" uri="{C3380CC4-5D6E-409C-BE32-E72D297353CC}">
              <c16:uniqueId val="{00000000-93AD-4852-92B4-177A301CB9A2}"/>
            </c:ext>
          </c:extLst>
        </c:ser>
        <c:dLbls>
          <c:dLblPos val="outEnd"/>
          <c:showLegendKey val="0"/>
          <c:showVal val="1"/>
          <c:showCatName val="0"/>
          <c:showSerName val="0"/>
          <c:showPercent val="0"/>
          <c:showBubbleSize val="0"/>
        </c:dLbls>
        <c:gapWidth val="219"/>
        <c:axId val="1961101312"/>
        <c:axId val="1745155152"/>
      </c:barChart>
      <c:catAx>
        <c:axId val="196110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155152"/>
        <c:crosses val="autoZero"/>
        <c:auto val="1"/>
        <c:lblAlgn val="ctr"/>
        <c:lblOffset val="100"/>
        <c:noMultiLvlLbl val="0"/>
      </c:catAx>
      <c:valAx>
        <c:axId val="1745155152"/>
        <c:scaling>
          <c:orientation val="minMax"/>
        </c:scaling>
        <c:delete val="1"/>
        <c:axPos val="b"/>
        <c:numFmt formatCode="0.00,,\ &quot;M&quot;" sourceLinked="1"/>
        <c:majorTickMark val="none"/>
        <c:minorTickMark val="none"/>
        <c:tickLblPos val="nextTo"/>
        <c:crossAx val="1961101312"/>
        <c:crosses val="autoZero"/>
        <c:crossBetween val="between"/>
      </c:valAx>
      <c:spPr>
        <a:noFill/>
        <a:ln cap="flat">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TWPD.xlsx]Pivot!PivotTable9</c:name>
    <c:fmtId val="39"/>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73562130513534"/>
          <c:y val="6.1924179917872677E-2"/>
          <c:w val="0.74928483628133791"/>
          <c:h val="0.89062205242046899"/>
        </c:manualLayout>
      </c:layout>
      <c:barChart>
        <c:barDir val="bar"/>
        <c:grouping val="clustered"/>
        <c:varyColors val="0"/>
        <c:ser>
          <c:idx val="0"/>
          <c:order val="0"/>
          <c:tx>
            <c:strRef>
              <c:f>Pivot!$B$66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Pivot!$A$67:$A$76</c:f>
              <c:strCache>
                <c:ptCount val="10"/>
                <c:pt idx="0">
                  <c:v>Fatima</c:v>
                </c:pt>
                <c:pt idx="1">
                  <c:v>Musa</c:v>
                </c:pt>
                <c:pt idx="2">
                  <c:v>Zainab</c:v>
                </c:pt>
                <c:pt idx="3">
                  <c:v>Emeka</c:v>
                </c:pt>
                <c:pt idx="4">
                  <c:v>Ade</c:v>
                </c:pt>
                <c:pt idx="5">
                  <c:v>Seyi</c:v>
                </c:pt>
                <c:pt idx="6">
                  <c:v>Kunle</c:v>
                </c:pt>
                <c:pt idx="7">
                  <c:v>Chioma</c:v>
                </c:pt>
                <c:pt idx="8">
                  <c:v>Ada</c:v>
                </c:pt>
                <c:pt idx="9">
                  <c:v>Tolu</c:v>
                </c:pt>
              </c:strCache>
            </c:strRef>
          </c:cat>
          <c:val>
            <c:numRef>
              <c:f>Pivot!$B$67:$B$76</c:f>
              <c:numCache>
                <c:formatCode>0.00,,\ "M"</c:formatCode>
                <c:ptCount val="10"/>
                <c:pt idx="0">
                  <c:v>2685200</c:v>
                </c:pt>
                <c:pt idx="1">
                  <c:v>3772300</c:v>
                </c:pt>
                <c:pt idx="2">
                  <c:v>4182750</c:v>
                </c:pt>
                <c:pt idx="3">
                  <c:v>4222750</c:v>
                </c:pt>
                <c:pt idx="4">
                  <c:v>4274050</c:v>
                </c:pt>
                <c:pt idx="5">
                  <c:v>4386000</c:v>
                </c:pt>
                <c:pt idx="6">
                  <c:v>4455000</c:v>
                </c:pt>
                <c:pt idx="7">
                  <c:v>4658400</c:v>
                </c:pt>
                <c:pt idx="8">
                  <c:v>4789050</c:v>
                </c:pt>
                <c:pt idx="9">
                  <c:v>5826400</c:v>
                </c:pt>
              </c:numCache>
            </c:numRef>
          </c:val>
          <c:extLst>
            <c:ext xmlns:c16="http://schemas.microsoft.com/office/drawing/2014/chart" uri="{C3380CC4-5D6E-409C-BE32-E72D297353CC}">
              <c16:uniqueId val="{00000000-EB97-4734-AEC6-4E873F23F268}"/>
            </c:ext>
          </c:extLst>
        </c:ser>
        <c:dLbls>
          <c:dLblPos val="outEnd"/>
          <c:showLegendKey val="0"/>
          <c:showVal val="1"/>
          <c:showCatName val="0"/>
          <c:showSerName val="0"/>
          <c:showPercent val="0"/>
          <c:showBubbleSize val="0"/>
        </c:dLbls>
        <c:gapWidth val="219"/>
        <c:axId val="2032467024"/>
        <c:axId val="1745266512"/>
      </c:barChart>
      <c:catAx>
        <c:axId val="203246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266512"/>
        <c:crosses val="autoZero"/>
        <c:auto val="1"/>
        <c:lblAlgn val="ctr"/>
        <c:lblOffset val="100"/>
        <c:noMultiLvlLbl val="0"/>
      </c:catAx>
      <c:valAx>
        <c:axId val="1745266512"/>
        <c:scaling>
          <c:orientation val="minMax"/>
        </c:scaling>
        <c:delete val="1"/>
        <c:axPos val="b"/>
        <c:numFmt formatCode="0.00,,\ &quot;M&quot;" sourceLinked="1"/>
        <c:majorTickMark val="none"/>
        <c:minorTickMark val="none"/>
        <c:tickLblPos val="nextTo"/>
        <c:crossAx val="203246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Pivot!$A$10:$A$16</c:f>
              <c:strCache>
                <c:ptCount val="7"/>
                <c:pt idx="0">
                  <c:v>Kaduna</c:v>
                </c:pt>
                <c:pt idx="1">
                  <c:v>Kano</c:v>
                </c:pt>
                <c:pt idx="2">
                  <c:v>Enugu</c:v>
                </c:pt>
                <c:pt idx="3">
                  <c:v>Ibadan</c:v>
                </c:pt>
                <c:pt idx="4">
                  <c:v>Port Harcourt</c:v>
                </c:pt>
                <c:pt idx="5">
                  <c:v>Abuja</c:v>
                </c:pt>
                <c:pt idx="6">
                  <c:v>Lagos</c:v>
                </c:pt>
              </c:strCache>
            </c:strRef>
          </c:cat>
          <c:val>
            <c:numRef>
              <c:f>Pivot!$B$10:$B$16</c:f>
              <c:numCache>
                <c:formatCode>0.00,,\ "M"</c:formatCode>
                <c:ptCount val="7"/>
                <c:pt idx="0">
                  <c:v>2685200</c:v>
                </c:pt>
                <c:pt idx="1">
                  <c:v>3772300</c:v>
                </c:pt>
                <c:pt idx="2">
                  <c:v>4222750</c:v>
                </c:pt>
                <c:pt idx="3">
                  <c:v>4386000</c:v>
                </c:pt>
                <c:pt idx="4">
                  <c:v>4789050</c:v>
                </c:pt>
                <c:pt idx="5">
                  <c:v>8841150</c:v>
                </c:pt>
                <c:pt idx="6">
                  <c:v>14555450</c:v>
                </c:pt>
              </c:numCache>
            </c:numRef>
          </c:val>
          <c:extLst>
            <c:ext xmlns:c16="http://schemas.microsoft.com/office/drawing/2014/chart" uri="{C3380CC4-5D6E-409C-BE32-E72D297353CC}">
              <c16:uniqueId val="{00000000-93AD-4852-92B4-177A301CB9A2}"/>
            </c:ext>
          </c:extLst>
        </c:ser>
        <c:dLbls>
          <c:dLblPos val="outEnd"/>
          <c:showLegendKey val="0"/>
          <c:showVal val="1"/>
          <c:showCatName val="0"/>
          <c:showSerName val="0"/>
          <c:showPercent val="0"/>
          <c:showBubbleSize val="0"/>
        </c:dLbls>
        <c:gapWidth val="219"/>
        <c:axId val="1961101312"/>
        <c:axId val="1745155152"/>
      </c:barChart>
      <c:catAx>
        <c:axId val="196110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155152"/>
        <c:crosses val="autoZero"/>
        <c:auto val="1"/>
        <c:lblAlgn val="ctr"/>
        <c:lblOffset val="100"/>
        <c:noMultiLvlLbl val="0"/>
      </c:catAx>
      <c:valAx>
        <c:axId val="1745155152"/>
        <c:scaling>
          <c:orientation val="minMax"/>
        </c:scaling>
        <c:delete val="1"/>
        <c:axPos val="b"/>
        <c:numFmt formatCode="0.00,,\ &quot;M&quot;" sourceLinked="1"/>
        <c:majorTickMark val="none"/>
        <c:minorTickMark val="none"/>
        <c:tickLblPos val="nextTo"/>
        <c:crossAx val="1961101312"/>
        <c:crosses val="autoZero"/>
        <c:crossBetween val="between"/>
      </c:valAx>
      <c:spPr>
        <a:noFill/>
        <a:ln cap="flat">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Profit</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Pivot!$L$9</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Pivot!$K$10:$K$16</c:f>
              <c:strCache>
                <c:ptCount val="7"/>
                <c:pt idx="0">
                  <c:v>Ibadan</c:v>
                </c:pt>
                <c:pt idx="1">
                  <c:v>Kaduna</c:v>
                </c:pt>
                <c:pt idx="2">
                  <c:v>Port Harcourt</c:v>
                </c:pt>
                <c:pt idx="3">
                  <c:v>Kano</c:v>
                </c:pt>
                <c:pt idx="4">
                  <c:v>Enugu</c:v>
                </c:pt>
                <c:pt idx="5">
                  <c:v>Abuja</c:v>
                </c:pt>
                <c:pt idx="6">
                  <c:v>Lagos</c:v>
                </c:pt>
              </c:strCache>
            </c:strRef>
          </c:cat>
          <c:val>
            <c:numRef>
              <c:f>Pivot!$L$10:$L$16</c:f>
              <c:numCache>
                <c:formatCode>0.00,,\ "M"</c:formatCode>
                <c:ptCount val="7"/>
                <c:pt idx="0">
                  <c:v>661000</c:v>
                </c:pt>
                <c:pt idx="1">
                  <c:v>789200</c:v>
                </c:pt>
                <c:pt idx="2">
                  <c:v>854050</c:v>
                </c:pt>
                <c:pt idx="3">
                  <c:v>988300</c:v>
                </c:pt>
                <c:pt idx="4">
                  <c:v>1137750</c:v>
                </c:pt>
                <c:pt idx="5">
                  <c:v>1751150</c:v>
                </c:pt>
                <c:pt idx="6">
                  <c:v>3186450</c:v>
                </c:pt>
              </c:numCache>
            </c:numRef>
          </c:val>
          <c:extLst>
            <c:ext xmlns:c16="http://schemas.microsoft.com/office/drawing/2014/chart" uri="{C3380CC4-5D6E-409C-BE32-E72D297353CC}">
              <c16:uniqueId val="{00000000-0126-4CEE-AE41-34E9D6D85F67}"/>
            </c:ext>
          </c:extLst>
        </c:ser>
        <c:dLbls>
          <c:dLblPos val="outEnd"/>
          <c:showLegendKey val="0"/>
          <c:showVal val="1"/>
          <c:showCatName val="0"/>
          <c:showSerName val="0"/>
          <c:showPercent val="0"/>
          <c:showBubbleSize val="0"/>
        </c:dLbls>
        <c:gapWidth val="182"/>
        <c:axId val="2024072848"/>
        <c:axId val="1745222832"/>
      </c:barChart>
      <c:catAx>
        <c:axId val="202407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222832"/>
        <c:crosses val="autoZero"/>
        <c:auto val="1"/>
        <c:lblAlgn val="ctr"/>
        <c:lblOffset val="100"/>
        <c:noMultiLvlLbl val="0"/>
      </c:catAx>
      <c:valAx>
        <c:axId val="1745222832"/>
        <c:scaling>
          <c:orientation val="minMax"/>
        </c:scaling>
        <c:delete val="1"/>
        <c:axPos val="b"/>
        <c:numFmt formatCode="0.00,,\ &quot;M&quot;" sourceLinked="1"/>
        <c:majorTickMark val="none"/>
        <c:minorTickMark val="none"/>
        <c:tickLblPos val="nextTo"/>
        <c:crossAx val="202407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Category</a:t>
            </a:r>
          </a:p>
        </c:rich>
      </c:tx>
      <c:layout>
        <c:manualLayout>
          <c:xMode val="edge"/>
          <c:yMode val="edge"/>
          <c:x val="4.9997722432367858E-2"/>
          <c:y val="7.03205499827005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manualLayout>
          <c:layoutTarget val="inner"/>
          <c:xMode val="edge"/>
          <c:yMode val="edge"/>
          <c:x val="0.33071060313236567"/>
          <c:y val="0.26627400819461167"/>
          <c:w val="0.42875221234829658"/>
          <c:h val="0.6826027108999464"/>
        </c:manualLayout>
      </c:layout>
      <c:barChart>
        <c:barDir val="bar"/>
        <c:grouping val="clustered"/>
        <c:varyColors val="0"/>
        <c:ser>
          <c:idx val="0"/>
          <c:order val="0"/>
          <c:tx>
            <c:strRef>
              <c:f>Pivot!$B$26</c:f>
              <c:strCache>
                <c:ptCount val="1"/>
                <c:pt idx="0">
                  <c:v>Total</c:v>
                </c:pt>
              </c:strCache>
            </c:strRef>
          </c:tx>
          <c:spPr>
            <a:solidFill>
              <a:schemeClr val="accent6"/>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4A18-4CAC-8944-C2FE48FAFBBA}"/>
              </c:ext>
            </c:extLst>
          </c:dPt>
          <c:dPt>
            <c:idx val="1"/>
            <c:invertIfNegative val="0"/>
            <c:bubble3D val="0"/>
            <c:extLst>
              <c:ext xmlns:c16="http://schemas.microsoft.com/office/drawing/2014/chart" uri="{C3380CC4-5D6E-409C-BE32-E72D297353CC}">
                <c16:uniqueId val="{00000003-4A18-4CAC-8944-C2FE48FAFBBA}"/>
              </c:ext>
            </c:extLst>
          </c:dPt>
          <c:dPt>
            <c:idx val="2"/>
            <c:invertIfNegative val="0"/>
            <c:bubble3D val="0"/>
            <c:extLst>
              <c:ext xmlns:c16="http://schemas.microsoft.com/office/drawing/2014/chart" uri="{C3380CC4-5D6E-409C-BE32-E72D297353CC}">
                <c16:uniqueId val="{00000005-4A18-4CAC-8944-C2FE48FAFBB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Pivot!$A$27:$A$29</c:f>
              <c:strCache>
                <c:ptCount val="3"/>
                <c:pt idx="0">
                  <c:v>Accessories</c:v>
                </c:pt>
                <c:pt idx="1">
                  <c:v>Electronics</c:v>
                </c:pt>
                <c:pt idx="2">
                  <c:v>Furniture</c:v>
                </c:pt>
              </c:strCache>
            </c:strRef>
          </c:cat>
          <c:val>
            <c:numRef>
              <c:f>Pivot!$B$27:$B$29</c:f>
              <c:numCache>
                <c:formatCode>0.00,,\ "M"</c:formatCode>
                <c:ptCount val="3"/>
                <c:pt idx="0">
                  <c:v>9268050</c:v>
                </c:pt>
                <c:pt idx="1">
                  <c:v>23784550</c:v>
                </c:pt>
                <c:pt idx="2">
                  <c:v>10199300</c:v>
                </c:pt>
              </c:numCache>
            </c:numRef>
          </c:val>
          <c:extLst>
            <c:ext xmlns:c16="http://schemas.microsoft.com/office/drawing/2014/chart" uri="{C3380CC4-5D6E-409C-BE32-E72D297353CC}">
              <c16:uniqueId val="{00000000-E6CF-48D0-8EB0-B2B6D015EF60}"/>
            </c:ext>
          </c:extLst>
        </c:ser>
        <c:dLbls>
          <c:showLegendKey val="0"/>
          <c:showVal val="0"/>
          <c:showCatName val="0"/>
          <c:showSerName val="0"/>
          <c:showPercent val="0"/>
          <c:showBubbleSize val="0"/>
        </c:dLbls>
        <c:gapWidth val="100"/>
        <c:axId val="1169980959"/>
        <c:axId val="561686319"/>
      </c:barChart>
      <c:valAx>
        <c:axId val="561686319"/>
        <c:scaling>
          <c:orientation val="minMax"/>
        </c:scaling>
        <c:delete val="0"/>
        <c:axPos val="b"/>
        <c:numFmt formatCode="0.00,,\ &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980959"/>
        <c:crosses val="autoZero"/>
        <c:crossBetween val="between"/>
      </c:valAx>
      <c:catAx>
        <c:axId val="1169980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86319"/>
        <c:crosses val="autoZero"/>
        <c:auto val="1"/>
        <c:lblAlgn val="ctr"/>
        <c:lblOffset val="100"/>
        <c:noMultiLvlLbl val="0"/>
      </c:catAx>
      <c:spPr>
        <a:noFill/>
        <a:ln>
          <a:noFill/>
        </a:ln>
        <a:effectLst/>
      </c:spPr>
    </c:plotArea>
    <c:legend>
      <c:legendPos val="t"/>
      <c:layout>
        <c:manualLayout>
          <c:xMode val="edge"/>
          <c:yMode val="edge"/>
          <c:x val="0.47336919185393078"/>
          <c:y val="6.9312433340494126E-2"/>
          <c:w val="0.43487988389398063"/>
          <c:h val="8.52425475316476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99723906911306"/>
          <c:y val="0.28793510468494393"/>
          <c:w val="0.36734575993886009"/>
          <c:h val="0.64988196413662536"/>
        </c:manualLayout>
      </c:layout>
      <c:doughnutChart>
        <c:varyColors val="1"/>
        <c:ser>
          <c:idx val="0"/>
          <c:order val="0"/>
          <c:tx>
            <c:strRef>
              <c:f>Pivot!$L$26</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4-F631-4C6C-8E1B-FAC171D9637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2-F631-4C6C-8E1B-FAC171D9637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3-F631-4C6C-8E1B-FAC171D96378}"/>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31-4C6C-8E1B-FAC171D96378}"/>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31-4C6C-8E1B-FAC171D96378}"/>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31-4C6C-8E1B-FAC171D9637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Pivot!$K$27:$K$29</c:f>
              <c:strCache>
                <c:ptCount val="3"/>
                <c:pt idx="0">
                  <c:v>Accessories</c:v>
                </c:pt>
                <c:pt idx="1">
                  <c:v>Electronics</c:v>
                </c:pt>
                <c:pt idx="2">
                  <c:v>Furniture</c:v>
                </c:pt>
              </c:strCache>
            </c:strRef>
          </c:cat>
          <c:val>
            <c:numRef>
              <c:f>Pivot!$L$27:$L$29</c:f>
              <c:numCache>
                <c:formatCode>0.00,,"M"</c:formatCode>
                <c:ptCount val="3"/>
                <c:pt idx="0">
                  <c:v>3334050</c:v>
                </c:pt>
                <c:pt idx="1">
                  <c:v>3714550</c:v>
                </c:pt>
                <c:pt idx="2">
                  <c:v>2319300</c:v>
                </c:pt>
              </c:numCache>
            </c:numRef>
          </c:val>
          <c:extLst>
            <c:ext xmlns:c16="http://schemas.microsoft.com/office/drawing/2014/chart" uri="{C3380CC4-5D6E-409C-BE32-E72D297353CC}">
              <c16:uniqueId val="{00000000-F631-4C6C-8E1B-FAC171D9637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TWPD.xlsx]Pivot!PivotTable5</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a:t>
            </a:r>
            <a:r>
              <a:rPr lang="en-US" baseline="0"/>
              <a:t> Sold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5762727743474148"/>
          <c:y val="0.29106262758821816"/>
          <c:w val="0.75316163604549435"/>
          <c:h val="0.68578922426363376"/>
        </c:manualLayout>
      </c:layout>
      <c:pieChart>
        <c:varyColors val="1"/>
        <c:ser>
          <c:idx val="0"/>
          <c:order val="0"/>
          <c:tx>
            <c:strRef>
              <c:f>Pivot!$X$26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35-44C0-8892-6C302F41E4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35-44C0-8892-6C302F41E4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35-44C0-8892-6C302F41E43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Pivot!$W$27:$W$29</c:f>
              <c:strCache>
                <c:ptCount val="3"/>
                <c:pt idx="0">
                  <c:v>Accessories</c:v>
                </c:pt>
                <c:pt idx="1">
                  <c:v>Electronics</c:v>
                </c:pt>
                <c:pt idx="2">
                  <c:v>Furniture</c:v>
                </c:pt>
              </c:strCache>
            </c:strRef>
          </c:cat>
          <c:val>
            <c:numRef>
              <c:f>Pivot!$X$27:$X$29</c:f>
              <c:numCache>
                <c:formatCode>General</c:formatCode>
                <c:ptCount val="3"/>
                <c:pt idx="0">
                  <c:v>383</c:v>
                </c:pt>
                <c:pt idx="1">
                  <c:v>95</c:v>
                </c:pt>
                <c:pt idx="2">
                  <c:v>113</c:v>
                </c:pt>
              </c:numCache>
            </c:numRef>
          </c:val>
          <c:extLst>
            <c:ext xmlns:c16="http://schemas.microsoft.com/office/drawing/2014/chart" uri="{C3380CC4-5D6E-409C-BE32-E72D297353CC}">
              <c16:uniqueId val="{00000000-F360-459B-85E5-37BCE03FE86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21652833481924871"/>
          <c:y val="0.15609717967677197"/>
          <c:w val="0.56694293144466834"/>
          <c:h val="9.05520228160980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Pivot!$A$45:$A$49</c:f>
              <c:strCache>
                <c:ptCount val="5"/>
                <c:pt idx="0">
                  <c:v>Printer</c:v>
                </c:pt>
                <c:pt idx="1">
                  <c:v>Desk</c:v>
                </c:pt>
                <c:pt idx="2">
                  <c:v>Office Chair</c:v>
                </c:pt>
                <c:pt idx="3">
                  <c:v>Monitor</c:v>
                </c:pt>
                <c:pt idx="4">
                  <c:v>Laptop</c:v>
                </c:pt>
              </c:strCache>
            </c:strRef>
          </c:cat>
          <c:val>
            <c:numRef>
              <c:f>Pivot!$B$45:$B$49</c:f>
              <c:numCache>
                <c:formatCode>0.00,,\ "M"</c:formatCode>
                <c:ptCount val="5"/>
                <c:pt idx="0">
                  <c:v>3949750</c:v>
                </c:pt>
                <c:pt idx="1">
                  <c:v>4750800</c:v>
                </c:pt>
                <c:pt idx="2">
                  <c:v>5448500</c:v>
                </c:pt>
                <c:pt idx="3">
                  <c:v>8112300</c:v>
                </c:pt>
                <c:pt idx="4">
                  <c:v>11722500</c:v>
                </c:pt>
              </c:numCache>
            </c:numRef>
          </c:val>
          <c:extLst>
            <c:ext xmlns:c16="http://schemas.microsoft.com/office/drawing/2014/chart" uri="{C3380CC4-5D6E-409C-BE32-E72D297353CC}">
              <c16:uniqueId val="{00000000-3F58-4D87-B07F-8DE96A665E84}"/>
            </c:ext>
          </c:extLst>
        </c:ser>
        <c:dLbls>
          <c:dLblPos val="outEnd"/>
          <c:showLegendKey val="0"/>
          <c:showVal val="1"/>
          <c:showCatName val="0"/>
          <c:showSerName val="0"/>
          <c:showPercent val="0"/>
          <c:showBubbleSize val="0"/>
        </c:dLbls>
        <c:gapWidth val="219"/>
        <c:axId val="2032530592"/>
        <c:axId val="1054711600"/>
      </c:barChart>
      <c:catAx>
        <c:axId val="203253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711600"/>
        <c:crosses val="autoZero"/>
        <c:auto val="1"/>
        <c:lblAlgn val="ctr"/>
        <c:lblOffset val="100"/>
        <c:noMultiLvlLbl val="0"/>
      </c:catAx>
      <c:valAx>
        <c:axId val="1054711600"/>
        <c:scaling>
          <c:orientation val="minMax"/>
        </c:scaling>
        <c:delete val="1"/>
        <c:axPos val="b"/>
        <c:numFmt formatCode="0.00,,\ &quot;M&quot;" sourceLinked="1"/>
        <c:majorTickMark val="none"/>
        <c:minorTickMark val="none"/>
        <c:tickLblPos val="nextTo"/>
        <c:crossAx val="203253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a:t>
            </a:r>
            <a:r>
              <a:rPr lang="en-US" baseline="0"/>
              <a:t>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Pivot!$L$44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Pivot!$K$45:$K$52</c:f>
              <c:strCache>
                <c:ptCount val="8"/>
                <c:pt idx="0">
                  <c:v>Monitor</c:v>
                </c:pt>
                <c:pt idx="1">
                  <c:v>Office Chair</c:v>
                </c:pt>
                <c:pt idx="2">
                  <c:v>Mouse</c:v>
                </c:pt>
                <c:pt idx="3">
                  <c:v>Laptop</c:v>
                </c:pt>
                <c:pt idx="4">
                  <c:v>Headset</c:v>
                </c:pt>
                <c:pt idx="5">
                  <c:v>Desk</c:v>
                </c:pt>
                <c:pt idx="6">
                  <c:v>Keyboard</c:v>
                </c:pt>
                <c:pt idx="7">
                  <c:v>Printer</c:v>
                </c:pt>
              </c:strCache>
            </c:strRef>
          </c:cat>
          <c:val>
            <c:numRef>
              <c:f>Pivot!$L$45:$L$52</c:f>
              <c:numCache>
                <c:formatCode>0.00,,\ "M"</c:formatCode>
                <c:ptCount val="8"/>
                <c:pt idx="0">
                  <c:v>1602300</c:v>
                </c:pt>
                <c:pt idx="1">
                  <c:v>1308500</c:v>
                </c:pt>
                <c:pt idx="2">
                  <c:v>1288000</c:v>
                </c:pt>
                <c:pt idx="3">
                  <c:v>1282500</c:v>
                </c:pt>
                <c:pt idx="4">
                  <c:v>1051850</c:v>
                </c:pt>
                <c:pt idx="5">
                  <c:v>1010800</c:v>
                </c:pt>
                <c:pt idx="6">
                  <c:v>994200</c:v>
                </c:pt>
                <c:pt idx="7">
                  <c:v>829750</c:v>
                </c:pt>
              </c:numCache>
            </c:numRef>
          </c:val>
          <c:extLst>
            <c:ext xmlns:c16="http://schemas.microsoft.com/office/drawing/2014/chart" uri="{C3380CC4-5D6E-409C-BE32-E72D297353CC}">
              <c16:uniqueId val="{00000000-41FE-4FF5-A9AE-5C05CF3A4365}"/>
            </c:ext>
          </c:extLst>
        </c:ser>
        <c:dLbls>
          <c:dLblPos val="outEnd"/>
          <c:showLegendKey val="0"/>
          <c:showVal val="1"/>
          <c:showCatName val="0"/>
          <c:showSerName val="0"/>
          <c:showPercent val="0"/>
          <c:showBubbleSize val="0"/>
        </c:dLbls>
        <c:gapWidth val="182"/>
        <c:axId val="2000908224"/>
        <c:axId val="4860111"/>
      </c:barChart>
      <c:catAx>
        <c:axId val="200090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0111"/>
        <c:crosses val="autoZero"/>
        <c:auto val="1"/>
        <c:lblAlgn val="ctr"/>
        <c:lblOffset val="100"/>
        <c:noMultiLvlLbl val="0"/>
      </c:catAx>
      <c:valAx>
        <c:axId val="4860111"/>
        <c:scaling>
          <c:orientation val="minMax"/>
        </c:scaling>
        <c:delete val="1"/>
        <c:axPos val="b"/>
        <c:numFmt formatCode="0.00,,\ &quot;M&quot;" sourceLinked="1"/>
        <c:majorTickMark val="none"/>
        <c:minorTickMark val="none"/>
        <c:tickLblPos val="nextTo"/>
        <c:crossAx val="200090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TWPD.xlsx]Pivot!PivotTable8</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Pivot!$X$44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Pivot!$W$45:$W$52</c:f>
              <c:strCache>
                <c:ptCount val="8"/>
                <c:pt idx="0">
                  <c:v>Desk</c:v>
                </c:pt>
                <c:pt idx="1">
                  <c:v>Headset</c:v>
                </c:pt>
                <c:pt idx="2">
                  <c:v>Keyboard</c:v>
                </c:pt>
                <c:pt idx="3">
                  <c:v>Laptop</c:v>
                </c:pt>
                <c:pt idx="4">
                  <c:v>Monitor</c:v>
                </c:pt>
                <c:pt idx="5">
                  <c:v>Mouse</c:v>
                </c:pt>
                <c:pt idx="6">
                  <c:v>Office Chair</c:v>
                </c:pt>
                <c:pt idx="7">
                  <c:v>Printer</c:v>
                </c:pt>
              </c:strCache>
            </c:strRef>
          </c:cat>
          <c:val>
            <c:numRef>
              <c:f>Pivot!$X$45:$X$52</c:f>
              <c:numCache>
                <c:formatCode>General</c:formatCode>
                <c:ptCount val="8"/>
                <c:pt idx="0">
                  <c:v>44</c:v>
                </c:pt>
                <c:pt idx="1">
                  <c:v>100</c:v>
                </c:pt>
                <c:pt idx="2">
                  <c:v>113</c:v>
                </c:pt>
                <c:pt idx="3">
                  <c:v>29</c:v>
                </c:pt>
                <c:pt idx="4">
                  <c:v>42</c:v>
                </c:pt>
                <c:pt idx="5">
                  <c:v>170</c:v>
                </c:pt>
                <c:pt idx="6">
                  <c:v>69</c:v>
                </c:pt>
                <c:pt idx="7">
                  <c:v>24</c:v>
                </c:pt>
              </c:numCache>
            </c:numRef>
          </c:val>
          <c:extLst>
            <c:ext xmlns:c16="http://schemas.microsoft.com/office/drawing/2014/chart" uri="{C3380CC4-5D6E-409C-BE32-E72D297353CC}">
              <c16:uniqueId val="{00000000-9188-4031-9E40-109505D6ABE3}"/>
            </c:ext>
          </c:extLst>
        </c:ser>
        <c:dLbls>
          <c:dLblPos val="outEnd"/>
          <c:showLegendKey val="0"/>
          <c:showVal val="1"/>
          <c:showCatName val="0"/>
          <c:showSerName val="0"/>
          <c:showPercent val="0"/>
          <c:showBubbleSize val="0"/>
        </c:dLbls>
        <c:gapWidth val="219"/>
        <c:overlap val="-27"/>
        <c:axId val="2000733296"/>
        <c:axId val="4928751"/>
      </c:barChart>
      <c:catAx>
        <c:axId val="200073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751"/>
        <c:crosses val="autoZero"/>
        <c:auto val="1"/>
        <c:lblAlgn val="ctr"/>
        <c:lblOffset val="100"/>
        <c:noMultiLvlLbl val="0"/>
      </c:catAx>
      <c:valAx>
        <c:axId val="4928751"/>
        <c:scaling>
          <c:orientation val="minMax"/>
        </c:scaling>
        <c:delete val="1"/>
        <c:axPos val="l"/>
        <c:numFmt formatCode="General" sourceLinked="1"/>
        <c:majorTickMark val="out"/>
        <c:minorTickMark val="none"/>
        <c:tickLblPos val="nextTo"/>
        <c:crossAx val="200073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TWPD.xlsx]Pivot!PivotTable9</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Pivot!$A$67:$A$76</c:f>
              <c:strCache>
                <c:ptCount val="10"/>
                <c:pt idx="0">
                  <c:v>Fatima</c:v>
                </c:pt>
                <c:pt idx="1">
                  <c:v>Musa</c:v>
                </c:pt>
                <c:pt idx="2">
                  <c:v>Zainab</c:v>
                </c:pt>
                <c:pt idx="3">
                  <c:v>Emeka</c:v>
                </c:pt>
                <c:pt idx="4">
                  <c:v>Ade</c:v>
                </c:pt>
                <c:pt idx="5">
                  <c:v>Seyi</c:v>
                </c:pt>
                <c:pt idx="6">
                  <c:v>Kunle</c:v>
                </c:pt>
                <c:pt idx="7">
                  <c:v>Chioma</c:v>
                </c:pt>
                <c:pt idx="8">
                  <c:v>Ada</c:v>
                </c:pt>
                <c:pt idx="9">
                  <c:v>Tolu</c:v>
                </c:pt>
              </c:strCache>
            </c:strRef>
          </c:cat>
          <c:val>
            <c:numRef>
              <c:f>Pivot!$B$67:$B$76</c:f>
              <c:numCache>
                <c:formatCode>0.00,,\ "M"</c:formatCode>
                <c:ptCount val="10"/>
                <c:pt idx="0">
                  <c:v>2685200</c:v>
                </c:pt>
                <c:pt idx="1">
                  <c:v>3772300</c:v>
                </c:pt>
                <c:pt idx="2">
                  <c:v>4182750</c:v>
                </c:pt>
                <c:pt idx="3">
                  <c:v>4222750</c:v>
                </c:pt>
                <c:pt idx="4">
                  <c:v>4274050</c:v>
                </c:pt>
                <c:pt idx="5">
                  <c:v>4386000</c:v>
                </c:pt>
                <c:pt idx="6">
                  <c:v>4455000</c:v>
                </c:pt>
                <c:pt idx="7">
                  <c:v>4658400</c:v>
                </c:pt>
                <c:pt idx="8">
                  <c:v>4789050</c:v>
                </c:pt>
                <c:pt idx="9">
                  <c:v>5826400</c:v>
                </c:pt>
              </c:numCache>
            </c:numRef>
          </c:val>
          <c:extLst>
            <c:ext xmlns:c16="http://schemas.microsoft.com/office/drawing/2014/chart" uri="{C3380CC4-5D6E-409C-BE32-E72D297353CC}">
              <c16:uniqueId val="{00000000-EB97-4734-AEC6-4E873F23F268}"/>
            </c:ext>
          </c:extLst>
        </c:ser>
        <c:dLbls>
          <c:dLblPos val="outEnd"/>
          <c:showLegendKey val="0"/>
          <c:showVal val="1"/>
          <c:showCatName val="0"/>
          <c:showSerName val="0"/>
          <c:showPercent val="0"/>
          <c:showBubbleSize val="0"/>
        </c:dLbls>
        <c:gapWidth val="219"/>
        <c:overlap val="-27"/>
        <c:axId val="2032467024"/>
        <c:axId val="1745266512"/>
      </c:barChart>
      <c:catAx>
        <c:axId val="203246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266512"/>
        <c:crosses val="autoZero"/>
        <c:auto val="1"/>
        <c:lblAlgn val="ctr"/>
        <c:lblOffset val="100"/>
        <c:noMultiLvlLbl val="0"/>
      </c:catAx>
      <c:valAx>
        <c:axId val="1745266512"/>
        <c:scaling>
          <c:orientation val="minMax"/>
        </c:scaling>
        <c:delete val="1"/>
        <c:axPos val="l"/>
        <c:numFmt formatCode="0.00,,\ &quot;M&quot;" sourceLinked="1"/>
        <c:majorTickMark val="none"/>
        <c:minorTickMark val="none"/>
        <c:tickLblPos val="nextTo"/>
        <c:crossAx val="203246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TWPD.xlsx]Pivot!PivotTable10</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Pofit by Salesperson</a:t>
            </a:r>
            <a:endParaRPr lang="en-US"/>
          </a:p>
        </c:rich>
      </c:tx>
      <c:layout>
        <c:manualLayout>
          <c:xMode val="edge"/>
          <c:yMode val="edge"/>
          <c:x val="0.29788188976377961"/>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Pivot!$N$67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Pivot!$M$68:$M$77</c:f>
              <c:strCache>
                <c:ptCount val="10"/>
                <c:pt idx="0">
                  <c:v>Seyi</c:v>
                </c:pt>
                <c:pt idx="1">
                  <c:v>Chioma</c:v>
                </c:pt>
                <c:pt idx="2">
                  <c:v>Fatima</c:v>
                </c:pt>
                <c:pt idx="3">
                  <c:v>Ada</c:v>
                </c:pt>
                <c:pt idx="4">
                  <c:v>Musa</c:v>
                </c:pt>
                <c:pt idx="5">
                  <c:v>Zainab</c:v>
                </c:pt>
                <c:pt idx="6">
                  <c:v>Ade</c:v>
                </c:pt>
                <c:pt idx="7">
                  <c:v>Tolu</c:v>
                </c:pt>
                <c:pt idx="8">
                  <c:v>Kunle</c:v>
                </c:pt>
                <c:pt idx="9">
                  <c:v>Emeka</c:v>
                </c:pt>
              </c:strCache>
            </c:strRef>
          </c:cat>
          <c:val>
            <c:numRef>
              <c:f>Pivot!$N$68:$N$77</c:f>
              <c:numCache>
                <c:formatCode>0.00,,\ "M"</c:formatCode>
                <c:ptCount val="10"/>
                <c:pt idx="0">
                  <c:v>661000</c:v>
                </c:pt>
                <c:pt idx="1">
                  <c:v>743400</c:v>
                </c:pt>
                <c:pt idx="2">
                  <c:v>789200</c:v>
                </c:pt>
                <c:pt idx="3">
                  <c:v>854050</c:v>
                </c:pt>
                <c:pt idx="4">
                  <c:v>988300</c:v>
                </c:pt>
                <c:pt idx="5">
                  <c:v>1007750</c:v>
                </c:pt>
                <c:pt idx="6">
                  <c:v>1024050</c:v>
                </c:pt>
                <c:pt idx="7">
                  <c:v>1077400</c:v>
                </c:pt>
                <c:pt idx="8">
                  <c:v>1085000</c:v>
                </c:pt>
                <c:pt idx="9">
                  <c:v>1137750</c:v>
                </c:pt>
              </c:numCache>
            </c:numRef>
          </c:val>
          <c:extLst>
            <c:ext xmlns:c16="http://schemas.microsoft.com/office/drawing/2014/chart" uri="{C3380CC4-5D6E-409C-BE32-E72D297353CC}">
              <c16:uniqueId val="{00000000-C378-454E-8B53-4740E567BAB1}"/>
            </c:ext>
          </c:extLst>
        </c:ser>
        <c:dLbls>
          <c:dLblPos val="outEnd"/>
          <c:showLegendKey val="0"/>
          <c:showVal val="1"/>
          <c:showCatName val="0"/>
          <c:showSerName val="0"/>
          <c:showPercent val="0"/>
          <c:showBubbleSize val="0"/>
        </c:dLbls>
        <c:gapWidth val="219"/>
        <c:overlap val="-27"/>
        <c:axId val="631682239"/>
        <c:axId val="1745328912"/>
      </c:barChart>
      <c:catAx>
        <c:axId val="63168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328912"/>
        <c:crosses val="autoZero"/>
        <c:auto val="1"/>
        <c:lblAlgn val="ctr"/>
        <c:lblOffset val="100"/>
        <c:noMultiLvlLbl val="0"/>
      </c:catAx>
      <c:valAx>
        <c:axId val="1745328912"/>
        <c:scaling>
          <c:orientation val="minMax"/>
        </c:scaling>
        <c:delete val="1"/>
        <c:axPos val="l"/>
        <c:numFmt formatCode="0.00,,\ &quot;M&quot;" sourceLinked="1"/>
        <c:majorTickMark val="none"/>
        <c:minorTickMark val="none"/>
        <c:tickLblPos val="nextTo"/>
        <c:crossAx val="63168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TWPD.xlsx]Pivot!PivotTable11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Orders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9937226596675421E-2"/>
              <c:y val="6.302256488772228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9777777777777772E-2"/>
                  <c:h val="0.13881962671332748"/>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Pivot!$B$89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799-4EF0-9FFE-1D240386FE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C6-4C0D-9B58-E737C3A2C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C6-4C0D-9B58-E737C3A2CD8C}"/>
              </c:ext>
            </c:extLst>
          </c:dPt>
          <c:dLbls>
            <c:dLbl>
              <c:idx val="0"/>
              <c:layout>
                <c:manualLayout>
                  <c:x val="-9.9937226596675421E-2"/>
                  <c:y val="6.302256488772228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9777777777777772E-2"/>
                      <c:h val="0.13881962671332748"/>
                    </c:manualLayout>
                  </c15:layout>
                </c:ext>
                <c:ext xmlns:c16="http://schemas.microsoft.com/office/drawing/2014/chart" uri="{C3380CC4-5D6E-409C-BE32-E72D297353CC}">
                  <c16:uniqueId val="{00000002-D799-4EF0-9FFE-1D240386FE0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Pivot!$A$90:$A$92</c:f>
              <c:strCache>
                <c:ptCount val="3"/>
                <c:pt idx="0">
                  <c:v>Card</c:v>
                </c:pt>
                <c:pt idx="1">
                  <c:v>Cash</c:v>
                </c:pt>
                <c:pt idx="2">
                  <c:v>Transfer</c:v>
                </c:pt>
              </c:strCache>
            </c:strRef>
          </c:cat>
          <c:val>
            <c:numRef>
              <c:f>Pivot!$B$90:$B$92</c:f>
              <c:numCache>
                <c:formatCode>General</c:formatCode>
                <c:ptCount val="3"/>
                <c:pt idx="0">
                  <c:v>18</c:v>
                </c:pt>
                <c:pt idx="1">
                  <c:v>13</c:v>
                </c:pt>
                <c:pt idx="2">
                  <c:v>17</c:v>
                </c:pt>
              </c:numCache>
            </c:numRef>
          </c:val>
          <c:extLst>
            <c:ext xmlns:c16="http://schemas.microsoft.com/office/drawing/2014/chart" uri="{C3380CC4-5D6E-409C-BE32-E72D297353CC}">
              <c16:uniqueId val="{00000000-D799-4EF0-9FFE-1D240386FE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TWPD.xlsx]Pivot!PivotTable12</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Pivot!$N$89</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A25-4A4D-BB5C-00D3C3DBE36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A25-4A4D-BB5C-00D3C3DBE36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A25-4A4D-BB5C-00D3C3DBE36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Pivot!$M$90:$M$92</c:f>
              <c:strCache>
                <c:ptCount val="3"/>
                <c:pt idx="0">
                  <c:v>Card</c:v>
                </c:pt>
                <c:pt idx="1">
                  <c:v>Cash</c:v>
                </c:pt>
                <c:pt idx="2">
                  <c:v>Transfer</c:v>
                </c:pt>
              </c:strCache>
            </c:strRef>
          </c:cat>
          <c:val>
            <c:numRef>
              <c:f>Pivot!$N$90:$N$92</c:f>
              <c:numCache>
                <c:formatCode>0.00,,"M"</c:formatCode>
                <c:ptCount val="3"/>
                <c:pt idx="0">
                  <c:v>19561300</c:v>
                </c:pt>
                <c:pt idx="1">
                  <c:v>9246800</c:v>
                </c:pt>
                <c:pt idx="2">
                  <c:v>13645800</c:v>
                </c:pt>
              </c:numCache>
            </c:numRef>
          </c:val>
          <c:extLst>
            <c:ext xmlns:c16="http://schemas.microsoft.com/office/drawing/2014/chart" uri="{C3380CC4-5D6E-409C-BE32-E72D297353CC}">
              <c16:uniqueId val="{00000000-3327-4CDD-AC10-C976379571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TWPD.xlsx]Pivot!PivotTable14</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Pivot!$B$112</c:f>
              <c:strCache>
                <c:ptCount val="1"/>
                <c:pt idx="0">
                  <c:v>Sum of Revenue</c:v>
                </c:pt>
              </c:strCache>
            </c:strRef>
          </c:tx>
          <c:spPr>
            <a:ln w="28575" cap="rnd">
              <a:solidFill>
                <a:schemeClr val="accent1"/>
              </a:solidFill>
              <a:round/>
            </a:ln>
            <a:effectLst/>
          </c:spPr>
          <c:marker>
            <c:symbol val="none"/>
          </c:marker>
          <c:cat>
            <c:strRef>
              <c:f>Pivot!$A$113:$A$117</c:f>
              <c:strCache>
                <c:ptCount val="5"/>
                <c:pt idx="0">
                  <c:v>Jan</c:v>
                </c:pt>
                <c:pt idx="1">
                  <c:v>Feb</c:v>
                </c:pt>
                <c:pt idx="2">
                  <c:v>Mar</c:v>
                </c:pt>
                <c:pt idx="3">
                  <c:v>Apr</c:v>
                </c:pt>
                <c:pt idx="4">
                  <c:v>May</c:v>
                </c:pt>
              </c:strCache>
            </c:strRef>
          </c:cat>
          <c:val>
            <c:numRef>
              <c:f>Pivot!$B$113:$B$117</c:f>
              <c:numCache>
                <c:formatCode>0.00,,\ "M"</c:formatCode>
                <c:ptCount val="5"/>
                <c:pt idx="0">
                  <c:v>7612450</c:v>
                </c:pt>
                <c:pt idx="1">
                  <c:v>8320000</c:v>
                </c:pt>
                <c:pt idx="2">
                  <c:v>9695150</c:v>
                </c:pt>
                <c:pt idx="3">
                  <c:v>7547700</c:v>
                </c:pt>
                <c:pt idx="4">
                  <c:v>10076600</c:v>
                </c:pt>
              </c:numCache>
            </c:numRef>
          </c:val>
          <c:smooth val="0"/>
          <c:extLst>
            <c:ext xmlns:c16="http://schemas.microsoft.com/office/drawing/2014/chart" uri="{C3380CC4-5D6E-409C-BE32-E72D297353CC}">
              <c16:uniqueId val="{00000000-135B-4539-A7AC-026835DB4EA7}"/>
            </c:ext>
          </c:extLst>
        </c:ser>
        <c:ser>
          <c:idx val="1"/>
          <c:order val="1"/>
          <c:tx>
            <c:strRef>
              <c:f>Pivot!$C$112</c:f>
              <c:strCache>
                <c:ptCount val="1"/>
                <c:pt idx="0">
                  <c:v>Sum of Profit</c:v>
                </c:pt>
              </c:strCache>
            </c:strRef>
          </c:tx>
          <c:spPr>
            <a:ln w="28575" cap="rnd">
              <a:solidFill>
                <a:schemeClr val="accent2"/>
              </a:solidFill>
              <a:round/>
            </a:ln>
            <a:effectLst/>
          </c:spPr>
          <c:marker>
            <c:symbol val="none"/>
          </c:marker>
          <c:cat>
            <c:strRef>
              <c:f>Pivot!$A$113:$A$117</c:f>
              <c:strCache>
                <c:ptCount val="5"/>
                <c:pt idx="0">
                  <c:v>Jan</c:v>
                </c:pt>
                <c:pt idx="1">
                  <c:v>Feb</c:v>
                </c:pt>
                <c:pt idx="2">
                  <c:v>Mar</c:v>
                </c:pt>
                <c:pt idx="3">
                  <c:v>Apr</c:v>
                </c:pt>
                <c:pt idx="4">
                  <c:v>May</c:v>
                </c:pt>
              </c:strCache>
            </c:strRef>
          </c:cat>
          <c:val>
            <c:numRef>
              <c:f>Pivot!$C$113:$C$117</c:f>
              <c:numCache>
                <c:formatCode>0.00,,\ "M"</c:formatCode>
                <c:ptCount val="5"/>
                <c:pt idx="0">
                  <c:v>1656450</c:v>
                </c:pt>
                <c:pt idx="1">
                  <c:v>1799000</c:v>
                </c:pt>
                <c:pt idx="2">
                  <c:v>2088150</c:v>
                </c:pt>
                <c:pt idx="3">
                  <c:v>1533700</c:v>
                </c:pt>
                <c:pt idx="4">
                  <c:v>2290600</c:v>
                </c:pt>
              </c:numCache>
            </c:numRef>
          </c:val>
          <c:smooth val="0"/>
          <c:extLst>
            <c:ext xmlns:c16="http://schemas.microsoft.com/office/drawing/2014/chart" uri="{C3380CC4-5D6E-409C-BE32-E72D297353CC}">
              <c16:uniqueId val="{00000001-135B-4539-A7AC-026835DB4EA7}"/>
            </c:ext>
          </c:extLst>
        </c:ser>
        <c:ser>
          <c:idx val="2"/>
          <c:order val="2"/>
          <c:tx>
            <c:strRef>
              <c:f>Pivot!$D$112</c:f>
              <c:strCache>
                <c:ptCount val="1"/>
                <c:pt idx="0">
                  <c:v>Count of Order ID</c:v>
                </c:pt>
              </c:strCache>
            </c:strRef>
          </c:tx>
          <c:spPr>
            <a:ln w="28575" cap="rnd">
              <a:solidFill>
                <a:schemeClr val="accent3"/>
              </a:solidFill>
              <a:round/>
            </a:ln>
            <a:effectLst/>
          </c:spPr>
          <c:marker>
            <c:symbol val="none"/>
          </c:marker>
          <c:cat>
            <c:strRef>
              <c:f>Pivot!$A$113:$A$117</c:f>
              <c:strCache>
                <c:ptCount val="5"/>
                <c:pt idx="0">
                  <c:v>Jan</c:v>
                </c:pt>
                <c:pt idx="1">
                  <c:v>Feb</c:v>
                </c:pt>
                <c:pt idx="2">
                  <c:v>Mar</c:v>
                </c:pt>
                <c:pt idx="3">
                  <c:v>Apr</c:v>
                </c:pt>
                <c:pt idx="4">
                  <c:v>May</c:v>
                </c:pt>
              </c:strCache>
            </c:strRef>
          </c:cat>
          <c:val>
            <c:numRef>
              <c:f>Pivot!$D$113:$D$117</c:f>
              <c:numCache>
                <c:formatCode>General</c:formatCode>
                <c:ptCount val="5"/>
                <c:pt idx="0">
                  <c:v>11</c:v>
                </c:pt>
                <c:pt idx="1">
                  <c:v>10</c:v>
                </c:pt>
                <c:pt idx="2">
                  <c:v>10</c:v>
                </c:pt>
                <c:pt idx="3">
                  <c:v>8</c:v>
                </c:pt>
                <c:pt idx="4">
                  <c:v>10</c:v>
                </c:pt>
              </c:numCache>
            </c:numRef>
          </c:val>
          <c:smooth val="0"/>
          <c:extLst>
            <c:ext xmlns:c16="http://schemas.microsoft.com/office/drawing/2014/chart" uri="{C3380CC4-5D6E-409C-BE32-E72D297353CC}">
              <c16:uniqueId val="{00000002-135B-4539-A7AC-026835DB4EA7}"/>
            </c:ext>
          </c:extLst>
        </c:ser>
        <c:dLbls>
          <c:showLegendKey val="0"/>
          <c:showVal val="0"/>
          <c:showCatName val="0"/>
          <c:showSerName val="0"/>
          <c:showPercent val="0"/>
          <c:showBubbleSize val="0"/>
        </c:dLbls>
        <c:smooth val="0"/>
        <c:axId val="883544543"/>
        <c:axId val="4789071"/>
      </c:lineChart>
      <c:catAx>
        <c:axId val="88354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071"/>
        <c:crosses val="autoZero"/>
        <c:auto val="1"/>
        <c:lblAlgn val="ctr"/>
        <c:lblOffset val="100"/>
        <c:noMultiLvlLbl val="0"/>
      </c:catAx>
      <c:valAx>
        <c:axId val="4789071"/>
        <c:scaling>
          <c:orientation val="minMax"/>
        </c:scaling>
        <c:delete val="0"/>
        <c:axPos val="l"/>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4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[LMS Sales-Data TWPD.xlsx]Pivot!PivotTable20</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Pivot!$N$111</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Pivot!$M$112:$M$116</c:f>
              <c:strCache>
                <c:ptCount val="5"/>
                <c:pt idx="0">
                  <c:v>Jan</c:v>
                </c:pt>
                <c:pt idx="1">
                  <c:v>Feb</c:v>
                </c:pt>
                <c:pt idx="2">
                  <c:v>Mar</c:v>
                </c:pt>
                <c:pt idx="3">
                  <c:v>Apr</c:v>
                </c:pt>
                <c:pt idx="4">
                  <c:v>May</c:v>
                </c:pt>
              </c:strCache>
            </c:strRef>
          </c:cat>
          <c:val>
            <c:numRef>
              <c:f>Pivot!$N$112:$N$116</c:f>
              <c:numCache>
                <c:formatCode>0.00,,\ "M"</c:formatCode>
                <c:ptCount val="5"/>
                <c:pt idx="0">
                  <c:v>7612450</c:v>
                </c:pt>
                <c:pt idx="1">
                  <c:v>8320000</c:v>
                </c:pt>
                <c:pt idx="2">
                  <c:v>9695150</c:v>
                </c:pt>
                <c:pt idx="3">
                  <c:v>7547700</c:v>
                </c:pt>
                <c:pt idx="4">
                  <c:v>10076600</c:v>
                </c:pt>
              </c:numCache>
            </c:numRef>
          </c:val>
          <c:smooth val="0"/>
          <c:extLst>
            <c:ext xmlns:c16="http://schemas.microsoft.com/office/drawing/2014/chart" uri="{C3380CC4-5D6E-409C-BE32-E72D297353CC}">
              <c16:uniqueId val="{00000000-E265-4B18-8A5D-517C217BE7DE}"/>
            </c:ext>
          </c:extLst>
        </c:ser>
        <c:dLbls>
          <c:dLblPos val="t"/>
          <c:showLegendKey val="0"/>
          <c:showVal val="1"/>
          <c:showCatName val="0"/>
          <c:showSerName val="0"/>
          <c:showPercent val="0"/>
          <c:showBubbleSize val="0"/>
        </c:dLbls>
        <c:smooth val="0"/>
        <c:axId val="622772863"/>
        <c:axId val="561722799"/>
      </c:lineChart>
      <c:catAx>
        <c:axId val="62277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22799"/>
        <c:crosses val="autoZero"/>
        <c:auto val="1"/>
        <c:lblAlgn val="ctr"/>
        <c:lblOffset val="100"/>
        <c:noMultiLvlLbl val="0"/>
      </c:catAx>
      <c:valAx>
        <c:axId val="561722799"/>
        <c:scaling>
          <c:orientation val="minMax"/>
        </c:scaling>
        <c:delete val="1"/>
        <c:axPos val="l"/>
        <c:numFmt formatCode="0.00,,\ &quot;M&quot;" sourceLinked="1"/>
        <c:majorTickMark val="none"/>
        <c:minorTickMark val="none"/>
        <c:tickLblPos val="nextTo"/>
        <c:crossAx val="62277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image" Target="../media/image2.png"/><Relationship Id="rId21" Type="http://schemas.openxmlformats.org/officeDocument/2006/relationships/image" Target="../media/image14.svg"/><Relationship Id="rId7" Type="http://schemas.openxmlformats.org/officeDocument/2006/relationships/chart" Target="../charts/chart4.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image" Target="../media/image1.png"/><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hyperlink" Target="https://www.linkedin.com/in/abdullahi-muhammed-soliu-074598417/" TargetMode="External"/><Relationship Id="rId6" Type="http://schemas.openxmlformats.org/officeDocument/2006/relationships/chart" Target="../charts/chart3.xml"/><Relationship Id="rId11" Type="http://schemas.openxmlformats.org/officeDocument/2006/relationships/image" Target="../media/image4.svg"/><Relationship Id="rId5" Type="http://schemas.openxmlformats.org/officeDocument/2006/relationships/chart" Target="../charts/chart2.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chart" Target="../charts/chart18.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120037</xdr:colOff>
      <xdr:row>1</xdr:row>
      <xdr:rowOff>51487</xdr:rowOff>
    </xdr:from>
    <xdr:to>
      <xdr:col>17</xdr:col>
      <xdr:colOff>540608</xdr:colOff>
      <xdr:row>38</xdr:row>
      <xdr:rowOff>102973</xdr:rowOff>
    </xdr:to>
    <xdr:sp macro="" textlink="">
      <xdr:nvSpPr>
        <xdr:cNvPr id="2" name="Rectangle: Rounded Corners 1">
          <a:extLst>
            <a:ext uri="{FF2B5EF4-FFF2-40B4-BE49-F238E27FC236}">
              <a16:creationId xmlns:a16="http://schemas.microsoft.com/office/drawing/2014/main" id="{D1A075E3-05E6-B894-144A-F51BC1FEA5D1}"/>
            </a:ext>
          </a:extLst>
        </xdr:cNvPr>
        <xdr:cNvSpPr/>
      </xdr:nvSpPr>
      <xdr:spPr>
        <a:xfrm>
          <a:off x="120037" y="244561"/>
          <a:ext cx="10704997" cy="7311081"/>
        </a:xfrm>
        <a:prstGeom prst="roundRect">
          <a:avLst>
            <a:gd name="adj" fmla="val 0"/>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75000"/>
              </a:schemeClr>
            </a:solidFill>
          </a:endParaRPr>
        </a:p>
      </xdr:txBody>
    </xdr:sp>
    <xdr:clientData/>
  </xdr:twoCellAnchor>
  <xdr:twoCellAnchor>
    <xdr:from>
      <xdr:col>0</xdr:col>
      <xdr:colOff>454099</xdr:colOff>
      <xdr:row>8</xdr:row>
      <xdr:rowOff>22151</xdr:rowOff>
    </xdr:from>
    <xdr:to>
      <xdr:col>2</xdr:col>
      <xdr:colOff>376570</xdr:colOff>
      <xdr:row>9</xdr:row>
      <xdr:rowOff>44302</xdr:rowOff>
    </xdr:to>
    <xdr:sp macro="" textlink="">
      <xdr:nvSpPr>
        <xdr:cNvPr id="21" name="TextBox 20">
          <a:extLst>
            <a:ext uri="{FF2B5EF4-FFF2-40B4-BE49-F238E27FC236}">
              <a16:creationId xmlns:a16="http://schemas.microsoft.com/office/drawing/2014/main" id="{748D2A71-7CC2-8E66-31E4-666215BDBE3B}"/>
            </a:ext>
          </a:extLst>
        </xdr:cNvPr>
        <xdr:cNvSpPr txBox="1"/>
      </xdr:nvSpPr>
      <xdr:spPr>
        <a:xfrm>
          <a:off x="454099" y="1340145"/>
          <a:ext cx="1140785" cy="21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285749</xdr:colOff>
      <xdr:row>2</xdr:row>
      <xdr:rowOff>87938</xdr:rowOff>
    </xdr:from>
    <xdr:to>
      <xdr:col>2</xdr:col>
      <xdr:colOff>208220</xdr:colOff>
      <xdr:row>3</xdr:row>
      <xdr:rowOff>110089</xdr:rowOff>
    </xdr:to>
    <xdr:sp macro="" textlink="">
      <xdr:nvSpPr>
        <xdr:cNvPr id="23" name="TextBox 22">
          <a:extLst>
            <a:ext uri="{FF2B5EF4-FFF2-40B4-BE49-F238E27FC236}">
              <a16:creationId xmlns:a16="http://schemas.microsoft.com/office/drawing/2014/main" id="{C20BD231-7AB1-4A2E-8E69-C02575757B2F}"/>
            </a:ext>
          </a:extLst>
        </xdr:cNvPr>
        <xdr:cNvSpPr txBox="1"/>
      </xdr:nvSpPr>
      <xdr:spPr>
        <a:xfrm>
          <a:off x="285749" y="276223"/>
          <a:ext cx="1140785" cy="21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438149</xdr:colOff>
      <xdr:row>3</xdr:row>
      <xdr:rowOff>52053</xdr:rowOff>
    </xdr:from>
    <xdr:to>
      <xdr:col>2</xdr:col>
      <xdr:colOff>360620</xdr:colOff>
      <xdr:row>4</xdr:row>
      <xdr:rowOff>74204</xdr:rowOff>
    </xdr:to>
    <xdr:sp macro="" textlink="">
      <xdr:nvSpPr>
        <xdr:cNvPr id="24" name="TextBox 23">
          <a:extLst>
            <a:ext uri="{FF2B5EF4-FFF2-40B4-BE49-F238E27FC236}">
              <a16:creationId xmlns:a16="http://schemas.microsoft.com/office/drawing/2014/main" id="{1B524D6B-7DFF-4841-8A4C-A44DC47C338B}"/>
            </a:ext>
          </a:extLst>
        </xdr:cNvPr>
        <xdr:cNvSpPr txBox="1"/>
      </xdr:nvSpPr>
      <xdr:spPr>
        <a:xfrm>
          <a:off x="438149" y="428623"/>
          <a:ext cx="1140785" cy="21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590549</xdr:colOff>
      <xdr:row>4</xdr:row>
      <xdr:rowOff>16168</xdr:rowOff>
    </xdr:from>
    <xdr:to>
      <xdr:col>2</xdr:col>
      <xdr:colOff>513020</xdr:colOff>
      <xdr:row>5</xdr:row>
      <xdr:rowOff>38319</xdr:rowOff>
    </xdr:to>
    <xdr:sp macro="" textlink="">
      <xdr:nvSpPr>
        <xdr:cNvPr id="25" name="TextBox 24">
          <a:extLst>
            <a:ext uri="{FF2B5EF4-FFF2-40B4-BE49-F238E27FC236}">
              <a16:creationId xmlns:a16="http://schemas.microsoft.com/office/drawing/2014/main" id="{55E1C6CF-1D39-4C5A-B2A2-0328CF5D4CEC}"/>
            </a:ext>
          </a:extLst>
        </xdr:cNvPr>
        <xdr:cNvSpPr txBox="1"/>
      </xdr:nvSpPr>
      <xdr:spPr>
        <a:xfrm>
          <a:off x="590549" y="581023"/>
          <a:ext cx="1140785" cy="21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133792</xdr:colOff>
      <xdr:row>4</xdr:row>
      <xdr:rowOff>168568</xdr:rowOff>
    </xdr:from>
    <xdr:to>
      <xdr:col>3</xdr:col>
      <xdr:colOff>56263</xdr:colOff>
      <xdr:row>6</xdr:row>
      <xdr:rowOff>2435</xdr:rowOff>
    </xdr:to>
    <xdr:sp macro="" textlink="">
      <xdr:nvSpPr>
        <xdr:cNvPr id="26" name="TextBox 25">
          <a:extLst>
            <a:ext uri="{FF2B5EF4-FFF2-40B4-BE49-F238E27FC236}">
              <a16:creationId xmlns:a16="http://schemas.microsoft.com/office/drawing/2014/main" id="{46354429-1940-444B-99AB-D79D72F97C93}"/>
            </a:ext>
          </a:extLst>
        </xdr:cNvPr>
        <xdr:cNvSpPr txBox="1"/>
      </xdr:nvSpPr>
      <xdr:spPr>
        <a:xfrm>
          <a:off x="742949" y="733423"/>
          <a:ext cx="1140785" cy="21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438592</xdr:colOff>
      <xdr:row>6</xdr:row>
      <xdr:rowOff>96799</xdr:rowOff>
    </xdr:from>
    <xdr:to>
      <xdr:col>3</xdr:col>
      <xdr:colOff>361063</xdr:colOff>
      <xdr:row>7</xdr:row>
      <xdr:rowOff>118950</xdr:rowOff>
    </xdr:to>
    <xdr:sp macro="" textlink="">
      <xdr:nvSpPr>
        <xdr:cNvPr id="28" name="TextBox 27">
          <a:extLst>
            <a:ext uri="{FF2B5EF4-FFF2-40B4-BE49-F238E27FC236}">
              <a16:creationId xmlns:a16="http://schemas.microsoft.com/office/drawing/2014/main" id="{8305CAAF-C38E-40CD-915D-B4BEE5A692AC}"/>
            </a:ext>
          </a:extLst>
        </xdr:cNvPr>
        <xdr:cNvSpPr txBox="1"/>
      </xdr:nvSpPr>
      <xdr:spPr>
        <a:xfrm>
          <a:off x="1047749" y="1038223"/>
          <a:ext cx="1140785" cy="21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134235</xdr:colOff>
      <xdr:row>8</xdr:row>
      <xdr:rowOff>25029</xdr:rowOff>
    </xdr:from>
    <xdr:to>
      <xdr:col>4</xdr:col>
      <xdr:colOff>56706</xdr:colOff>
      <xdr:row>9</xdr:row>
      <xdr:rowOff>47180</xdr:rowOff>
    </xdr:to>
    <xdr:sp macro="" textlink="">
      <xdr:nvSpPr>
        <xdr:cNvPr id="30" name="TextBox 29">
          <a:extLst>
            <a:ext uri="{FF2B5EF4-FFF2-40B4-BE49-F238E27FC236}">
              <a16:creationId xmlns:a16="http://schemas.microsoft.com/office/drawing/2014/main" id="{A4A2950F-4950-4256-9A92-C5288A09B688}"/>
            </a:ext>
          </a:extLst>
        </xdr:cNvPr>
        <xdr:cNvSpPr txBox="1"/>
      </xdr:nvSpPr>
      <xdr:spPr>
        <a:xfrm>
          <a:off x="1352549" y="1343023"/>
          <a:ext cx="1140785" cy="21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154459</xdr:colOff>
      <xdr:row>1</xdr:row>
      <xdr:rowOff>143985</xdr:rowOff>
    </xdr:from>
    <xdr:to>
      <xdr:col>17</xdr:col>
      <xdr:colOff>553479</xdr:colOff>
      <xdr:row>6</xdr:row>
      <xdr:rowOff>77531</xdr:rowOff>
    </xdr:to>
    <xdr:grpSp>
      <xdr:nvGrpSpPr>
        <xdr:cNvPr id="19" name="Group 18">
          <a:extLst>
            <a:ext uri="{FF2B5EF4-FFF2-40B4-BE49-F238E27FC236}">
              <a16:creationId xmlns:a16="http://schemas.microsoft.com/office/drawing/2014/main" id="{371B1F66-CB3A-EDF8-8D8A-58EB72906FC7}"/>
            </a:ext>
          </a:extLst>
        </xdr:cNvPr>
        <xdr:cNvGrpSpPr/>
      </xdr:nvGrpSpPr>
      <xdr:grpSpPr>
        <a:xfrm>
          <a:off x="154459" y="337059"/>
          <a:ext cx="10683446" cy="898918"/>
          <a:chOff x="149997" y="177211"/>
          <a:chExt cx="9629741" cy="874970"/>
        </a:xfrm>
      </xdr:grpSpPr>
      <xdr:sp macro="" textlink="">
        <xdr:nvSpPr>
          <xdr:cNvPr id="4" name="Rectangle: Rounded Corners 3">
            <a:extLst>
              <a:ext uri="{FF2B5EF4-FFF2-40B4-BE49-F238E27FC236}">
                <a16:creationId xmlns:a16="http://schemas.microsoft.com/office/drawing/2014/main" id="{CE24D909-F3B6-E435-2806-23C4932B86BA}"/>
              </a:ext>
            </a:extLst>
          </xdr:cNvPr>
          <xdr:cNvSpPr/>
        </xdr:nvSpPr>
        <xdr:spPr>
          <a:xfrm>
            <a:off x="210436" y="177211"/>
            <a:ext cx="9491773" cy="830668"/>
          </a:xfrm>
          <a:prstGeom prst="roundRect">
            <a:avLst>
              <a:gd name="adj" fmla="val 0"/>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EAF60B5D-02B4-436D-1B4B-A62476F60334}"/>
              </a:ext>
            </a:extLst>
          </xdr:cNvPr>
          <xdr:cNvSpPr txBox="1"/>
        </xdr:nvSpPr>
        <xdr:spPr>
          <a:xfrm>
            <a:off x="149997" y="335172"/>
            <a:ext cx="6357949" cy="553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a:latin typeface="Rockwell Nova Extra Bold" panose="02060903020205020403" pitchFamily="18" charset="0"/>
              </a:rPr>
              <a:t>SALES PERFORMANCE</a:t>
            </a:r>
            <a:r>
              <a:rPr lang="en-US" sz="2200" baseline="0">
                <a:latin typeface="Rockwell Nova Extra Bold" panose="02060903020205020403" pitchFamily="18" charset="0"/>
              </a:rPr>
              <a:t> DASHBOARD</a:t>
            </a:r>
            <a:endParaRPr lang="en-US" sz="2200">
              <a:latin typeface="Rockwell Nova Extra Bold" panose="02060903020205020403" pitchFamily="18" charset="0"/>
            </a:endParaRPr>
          </a:p>
        </xdr:txBody>
      </xdr:sp>
      <xdr:pic>
        <xdr:nvPicPr>
          <xdr:cNvPr id="17" name="Picture 16">
            <a:hlinkClick xmlns:r="http://schemas.openxmlformats.org/officeDocument/2006/relationships" r:id="rId1"/>
            <a:extLst>
              <a:ext uri="{FF2B5EF4-FFF2-40B4-BE49-F238E27FC236}">
                <a16:creationId xmlns:a16="http://schemas.microsoft.com/office/drawing/2014/main" id="{D250A982-1408-4DA3-7A76-55A82E1E02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98243" y="182078"/>
            <a:ext cx="537835" cy="537835"/>
          </a:xfrm>
          <a:prstGeom prst="rect">
            <a:avLst/>
          </a:prstGeom>
        </xdr:spPr>
      </xdr:pic>
      <xdr:sp macro="" textlink="">
        <xdr:nvSpPr>
          <xdr:cNvPr id="18" name="TextBox 17">
            <a:extLst>
              <a:ext uri="{FF2B5EF4-FFF2-40B4-BE49-F238E27FC236}">
                <a16:creationId xmlns:a16="http://schemas.microsoft.com/office/drawing/2014/main" id="{D9666AD3-7FE9-8EF2-0921-2EC3D05CA5DD}"/>
              </a:ext>
            </a:extLst>
          </xdr:cNvPr>
          <xdr:cNvSpPr txBox="1"/>
        </xdr:nvSpPr>
        <xdr:spPr>
          <a:xfrm>
            <a:off x="8129478" y="620232"/>
            <a:ext cx="1650260" cy="43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rtl="0"/>
            <a:r>
              <a:rPr lang="en-US" sz="1000" b="1">
                <a:solidFill>
                  <a:schemeClr val="tx1"/>
                </a:solidFill>
              </a:rPr>
              <a:t>Abdullahi</a:t>
            </a:r>
            <a:r>
              <a:rPr lang="en-US" sz="1000" b="1" baseline="0">
                <a:solidFill>
                  <a:schemeClr val="tx1"/>
                </a:solidFill>
              </a:rPr>
              <a:t> Muhammed Soliu</a:t>
            </a:r>
            <a:endParaRPr lang="en-US" sz="1000" b="1">
              <a:solidFill>
                <a:schemeClr val="tx1"/>
              </a:solidFill>
            </a:endParaRPr>
          </a:p>
          <a:p>
            <a:pPr lvl="0" algn="ctr" rtl="0"/>
            <a:r>
              <a:rPr lang="en-US" sz="1000" b="1">
                <a:solidFill>
                  <a:schemeClr val="tx1"/>
                </a:solidFill>
              </a:rPr>
              <a:t>Connect</a:t>
            </a:r>
            <a:r>
              <a:rPr lang="en-US" sz="1000" b="1" baseline="0">
                <a:solidFill>
                  <a:schemeClr val="tx1"/>
                </a:solidFill>
              </a:rPr>
              <a:t> on Linkedin</a:t>
            </a:r>
            <a:endParaRPr lang="en-US" sz="1000" b="1">
              <a:solidFill>
                <a:schemeClr val="tx1"/>
              </a:solidFill>
            </a:endParaRPr>
          </a:p>
        </xdr:txBody>
      </xdr:sp>
      <xdr:pic>
        <xdr:nvPicPr>
          <xdr:cNvPr id="20" name="Picture 19">
            <a:extLst>
              <a:ext uri="{FF2B5EF4-FFF2-40B4-BE49-F238E27FC236}">
                <a16:creationId xmlns:a16="http://schemas.microsoft.com/office/drawing/2014/main" id="{E0931C96-666C-6CC0-E231-D713C44711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384217" y="243663"/>
            <a:ext cx="561163" cy="420872"/>
          </a:xfrm>
          <a:prstGeom prst="rect">
            <a:avLst/>
          </a:prstGeom>
        </xdr:spPr>
      </xdr:pic>
      <mc:AlternateContent xmlns:mc="http://schemas.openxmlformats.org/markup-compatibility/2006" xmlns:a14="http://schemas.microsoft.com/office/drawing/2010/main">
        <mc:Choice Requires="a14">
          <xdr:graphicFrame macro="">
            <xdr:nvGraphicFramePr>
              <xdr:cNvPr id="41" name="City 1">
                <a:extLst>
                  <a:ext uri="{FF2B5EF4-FFF2-40B4-BE49-F238E27FC236}">
                    <a16:creationId xmlns:a16="http://schemas.microsoft.com/office/drawing/2014/main" id="{15CF5013-CB50-4586-BB90-652E46F6B198}"/>
                  </a:ext>
                </a:extLst>
              </xdr:cNvPr>
              <xdr:cNvGraphicFramePr/>
            </xdr:nvGraphicFramePr>
            <xdr:xfrm>
              <a:off x="6412761" y="223503"/>
              <a:ext cx="1783168" cy="728997"/>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102507" y="384618"/>
                <a:ext cx="1978286" cy="748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12</xdr:col>
      <xdr:colOff>52720</xdr:colOff>
      <xdr:row>10</xdr:row>
      <xdr:rowOff>281117</xdr:rowOff>
    </xdr:from>
    <xdr:to>
      <xdr:col>17</xdr:col>
      <xdr:colOff>409833</xdr:colOff>
      <xdr:row>24</xdr:row>
      <xdr:rowOff>23684</xdr:rowOff>
    </xdr:to>
    <xdr:sp macro="" textlink="">
      <xdr:nvSpPr>
        <xdr:cNvPr id="59" name="Rectangle: Rounded Corners 58">
          <a:extLst>
            <a:ext uri="{FF2B5EF4-FFF2-40B4-BE49-F238E27FC236}">
              <a16:creationId xmlns:a16="http://schemas.microsoft.com/office/drawing/2014/main" id="{C1E7A511-542E-4D47-A463-A1E2A42726C3}"/>
            </a:ext>
          </a:extLst>
        </xdr:cNvPr>
        <xdr:cNvSpPr/>
      </xdr:nvSpPr>
      <xdr:spPr>
        <a:xfrm>
          <a:off x="7312315" y="2211860"/>
          <a:ext cx="3381944" cy="2561452"/>
        </a:xfrm>
        <a:prstGeom prst="roundRect">
          <a:avLst>
            <a:gd name="adj" fmla="val 552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46542</xdr:colOff>
      <xdr:row>24</xdr:row>
      <xdr:rowOff>126658</xdr:rowOff>
    </xdr:from>
    <xdr:to>
      <xdr:col>17</xdr:col>
      <xdr:colOff>403655</xdr:colOff>
      <xdr:row>37</xdr:row>
      <xdr:rowOff>178143</xdr:rowOff>
    </xdr:to>
    <xdr:sp macro="" textlink="">
      <xdr:nvSpPr>
        <xdr:cNvPr id="62" name="Rectangle: Rounded Corners 61">
          <a:extLst>
            <a:ext uri="{FF2B5EF4-FFF2-40B4-BE49-F238E27FC236}">
              <a16:creationId xmlns:a16="http://schemas.microsoft.com/office/drawing/2014/main" id="{DF8A1203-5426-428F-BFFE-4C5BB4698C06}"/>
            </a:ext>
          </a:extLst>
        </xdr:cNvPr>
        <xdr:cNvSpPr/>
      </xdr:nvSpPr>
      <xdr:spPr>
        <a:xfrm>
          <a:off x="7306137" y="4876286"/>
          <a:ext cx="3381944" cy="2561452"/>
        </a:xfrm>
        <a:prstGeom prst="roundRect">
          <a:avLst>
            <a:gd name="adj" fmla="val 5025"/>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147456</xdr:colOff>
      <xdr:row>24</xdr:row>
      <xdr:rowOff>126658</xdr:rowOff>
    </xdr:from>
    <xdr:to>
      <xdr:col>11</xdr:col>
      <xdr:colOff>504569</xdr:colOff>
      <xdr:row>37</xdr:row>
      <xdr:rowOff>178143</xdr:rowOff>
    </xdr:to>
    <xdr:sp macro="" textlink="">
      <xdr:nvSpPr>
        <xdr:cNvPr id="63" name="Rectangle: Rounded Corners 62">
          <a:extLst>
            <a:ext uri="{FF2B5EF4-FFF2-40B4-BE49-F238E27FC236}">
              <a16:creationId xmlns:a16="http://schemas.microsoft.com/office/drawing/2014/main" id="{BEDA8A68-2890-459D-83A8-3FD207A41739}"/>
            </a:ext>
          </a:extLst>
        </xdr:cNvPr>
        <xdr:cNvSpPr/>
      </xdr:nvSpPr>
      <xdr:spPr>
        <a:xfrm>
          <a:off x="3777253" y="4876286"/>
          <a:ext cx="3381944" cy="2561452"/>
        </a:xfrm>
        <a:prstGeom prst="roundRect">
          <a:avLst>
            <a:gd name="adj" fmla="val 65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247853</xdr:colOff>
      <xdr:row>10</xdr:row>
      <xdr:rowOff>296048</xdr:rowOff>
    </xdr:from>
    <xdr:to>
      <xdr:col>6</xdr:col>
      <xdr:colOff>0</xdr:colOff>
      <xdr:row>24</xdr:row>
      <xdr:rowOff>38615</xdr:rowOff>
    </xdr:to>
    <xdr:grpSp>
      <xdr:nvGrpSpPr>
        <xdr:cNvPr id="75" name="Group 74">
          <a:extLst>
            <a:ext uri="{FF2B5EF4-FFF2-40B4-BE49-F238E27FC236}">
              <a16:creationId xmlns:a16="http://schemas.microsoft.com/office/drawing/2014/main" id="{DBFBE5BD-F649-E953-DC16-937ADED63D19}"/>
            </a:ext>
          </a:extLst>
        </xdr:cNvPr>
        <xdr:cNvGrpSpPr/>
      </xdr:nvGrpSpPr>
      <xdr:grpSpPr>
        <a:xfrm>
          <a:off x="247853" y="2226791"/>
          <a:ext cx="3381944" cy="2561452"/>
          <a:chOff x="247853" y="2226791"/>
          <a:chExt cx="3381944" cy="2561452"/>
        </a:xfrm>
        <a:effectLst>
          <a:outerShdw blurRad="50800" dist="38100" dir="2700000" algn="tl" rotWithShape="0">
            <a:prstClr val="black">
              <a:alpha val="40000"/>
            </a:prstClr>
          </a:outerShdw>
        </a:effectLst>
      </xdr:grpSpPr>
      <xdr:sp macro="" textlink="">
        <xdr:nvSpPr>
          <xdr:cNvPr id="35" name="Rectangle: Rounded Corners 34">
            <a:extLst>
              <a:ext uri="{FF2B5EF4-FFF2-40B4-BE49-F238E27FC236}">
                <a16:creationId xmlns:a16="http://schemas.microsoft.com/office/drawing/2014/main" id="{DF0C5C5F-646E-6C55-E1B0-A0E1C6F116C6}"/>
              </a:ext>
            </a:extLst>
          </xdr:cNvPr>
          <xdr:cNvSpPr/>
        </xdr:nvSpPr>
        <xdr:spPr>
          <a:xfrm>
            <a:off x="247853" y="2226791"/>
            <a:ext cx="3381944" cy="2561452"/>
          </a:xfrm>
          <a:prstGeom prst="roundRect">
            <a:avLst>
              <a:gd name="adj" fmla="val 603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9" name="Group 68">
            <a:extLst>
              <a:ext uri="{FF2B5EF4-FFF2-40B4-BE49-F238E27FC236}">
                <a16:creationId xmlns:a16="http://schemas.microsoft.com/office/drawing/2014/main" id="{023BF0D5-91F2-5BAC-B2BD-273F8F7B9865}"/>
              </a:ext>
            </a:extLst>
          </xdr:cNvPr>
          <xdr:cNvGrpSpPr/>
        </xdr:nvGrpSpPr>
        <xdr:grpSpPr>
          <a:xfrm>
            <a:off x="338854" y="2265402"/>
            <a:ext cx="3200842" cy="2417310"/>
            <a:chOff x="338854" y="2291146"/>
            <a:chExt cx="3200842" cy="2417310"/>
          </a:xfrm>
        </xdr:grpSpPr>
        <xdr:graphicFrame macro="">
          <xdr:nvGraphicFramePr>
            <xdr:cNvPr id="65" name="Chart 64">
              <a:extLst>
                <a:ext uri="{FF2B5EF4-FFF2-40B4-BE49-F238E27FC236}">
                  <a16:creationId xmlns:a16="http://schemas.microsoft.com/office/drawing/2014/main" id="{44364156-5EAC-453C-91B0-F82C91B65329}"/>
                </a:ext>
              </a:extLst>
            </xdr:cNvPr>
            <xdr:cNvGraphicFramePr>
              <a:graphicFrameLocks/>
            </xdr:cNvGraphicFramePr>
          </xdr:nvGraphicFramePr>
          <xdr:xfrm>
            <a:off x="338854" y="2574324"/>
            <a:ext cx="3200842" cy="2134132"/>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68" name="TextBox 67">
              <a:extLst>
                <a:ext uri="{FF2B5EF4-FFF2-40B4-BE49-F238E27FC236}">
                  <a16:creationId xmlns:a16="http://schemas.microsoft.com/office/drawing/2014/main" id="{599DC720-05AD-40C4-BC27-8D493A063055}"/>
                </a:ext>
              </a:extLst>
            </xdr:cNvPr>
            <xdr:cNvSpPr txBox="1"/>
          </xdr:nvSpPr>
          <xdr:spPr>
            <a:xfrm>
              <a:off x="720807" y="2291146"/>
              <a:ext cx="2329761" cy="373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Black" panose="020B0A04020102020204" pitchFamily="34" charset="0"/>
                </a:rPr>
                <a:t>Revenue by</a:t>
              </a:r>
              <a:r>
                <a:rPr lang="en-US" sz="1400" b="1" baseline="0">
                  <a:latin typeface="Arial Black" panose="020B0A04020102020204" pitchFamily="34" charset="0"/>
                </a:rPr>
                <a:t> Category</a:t>
              </a:r>
              <a:endParaRPr lang="en-US" sz="1400" b="1">
                <a:latin typeface="Arial Black" panose="020B0A04020102020204" pitchFamily="34" charset="0"/>
              </a:endParaRPr>
            </a:p>
          </xdr:txBody>
        </xdr:sp>
      </xdr:grpSp>
    </xdr:grpSp>
    <xdr:clientData/>
  </xdr:twoCellAnchor>
  <xdr:twoCellAnchor>
    <xdr:from>
      <xdr:col>6</xdr:col>
      <xdr:colOff>140763</xdr:colOff>
      <xdr:row>10</xdr:row>
      <xdr:rowOff>283176</xdr:rowOff>
    </xdr:from>
    <xdr:to>
      <xdr:col>11</xdr:col>
      <xdr:colOff>497876</xdr:colOff>
      <xdr:row>24</xdr:row>
      <xdr:rowOff>25743</xdr:rowOff>
    </xdr:to>
    <xdr:grpSp>
      <xdr:nvGrpSpPr>
        <xdr:cNvPr id="77" name="Group 76">
          <a:extLst>
            <a:ext uri="{FF2B5EF4-FFF2-40B4-BE49-F238E27FC236}">
              <a16:creationId xmlns:a16="http://schemas.microsoft.com/office/drawing/2014/main" id="{E6531273-4F88-8302-A0DA-EF18CF1CC586}"/>
            </a:ext>
          </a:extLst>
        </xdr:cNvPr>
        <xdr:cNvGrpSpPr/>
      </xdr:nvGrpSpPr>
      <xdr:grpSpPr>
        <a:xfrm>
          <a:off x="3770560" y="2213919"/>
          <a:ext cx="3381944" cy="2561452"/>
          <a:chOff x="3770560" y="2213919"/>
          <a:chExt cx="3381944" cy="2561452"/>
        </a:xfrm>
        <a:scene3d>
          <a:camera prst="orthographicFront">
            <a:rot lat="0" lon="0" rev="0"/>
          </a:camera>
          <a:lightRig rig="soft" dir="t">
            <a:rot lat="0" lon="0" rev="0"/>
          </a:lightRig>
        </a:scene3d>
      </xdr:grpSpPr>
      <xdr:sp macro="" textlink="">
        <xdr:nvSpPr>
          <xdr:cNvPr id="60" name="Rectangle: Rounded Corners 59">
            <a:extLst>
              <a:ext uri="{FF2B5EF4-FFF2-40B4-BE49-F238E27FC236}">
                <a16:creationId xmlns:a16="http://schemas.microsoft.com/office/drawing/2014/main" id="{8686D65C-D1D9-4858-BD7A-9E155CF8FC65}"/>
              </a:ext>
            </a:extLst>
          </xdr:cNvPr>
          <xdr:cNvSpPr/>
        </xdr:nvSpPr>
        <xdr:spPr>
          <a:xfrm>
            <a:off x="3770560" y="2213919"/>
            <a:ext cx="3381944" cy="2561452"/>
          </a:xfrm>
          <a:prstGeom prst="roundRect">
            <a:avLst>
              <a:gd name="adj" fmla="val 8041"/>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1" name="Chart 70">
            <a:extLst>
              <a:ext uri="{FF2B5EF4-FFF2-40B4-BE49-F238E27FC236}">
                <a16:creationId xmlns:a16="http://schemas.microsoft.com/office/drawing/2014/main" id="{CF7519FA-EF7C-4FA4-BD7C-7B5132384E91}"/>
              </a:ext>
            </a:extLst>
          </xdr:cNvPr>
          <xdr:cNvGraphicFramePr>
            <a:graphicFrameLocks/>
          </xdr:cNvGraphicFramePr>
        </xdr:nvGraphicFramePr>
        <xdr:xfrm>
          <a:off x="3797129" y="2600067"/>
          <a:ext cx="3308007" cy="202084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72" name="TextBox 71">
            <a:extLst>
              <a:ext uri="{FF2B5EF4-FFF2-40B4-BE49-F238E27FC236}">
                <a16:creationId xmlns:a16="http://schemas.microsoft.com/office/drawing/2014/main" id="{8C961A6C-8160-4DB2-A231-D69FEDEF7477}"/>
              </a:ext>
            </a:extLst>
          </xdr:cNvPr>
          <xdr:cNvSpPr txBox="1"/>
        </xdr:nvSpPr>
        <xdr:spPr>
          <a:xfrm>
            <a:off x="4117458" y="2265403"/>
            <a:ext cx="2910447" cy="334664"/>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Black" panose="020B0A04020102020204" pitchFamily="34" charset="0"/>
              </a:rPr>
              <a:t>Top 5 Products</a:t>
            </a:r>
            <a:r>
              <a:rPr lang="en-US" sz="1400" b="1" baseline="0">
                <a:latin typeface="Arial Black" panose="020B0A04020102020204" pitchFamily="34" charset="0"/>
              </a:rPr>
              <a:t> by Reveune</a:t>
            </a:r>
          </a:p>
        </xdr:txBody>
      </xdr:sp>
    </xdr:grpSp>
    <xdr:clientData/>
  </xdr:twoCellAnchor>
  <xdr:twoCellAnchor>
    <xdr:from>
      <xdr:col>0</xdr:col>
      <xdr:colOff>228805</xdr:colOff>
      <xdr:row>24</xdr:row>
      <xdr:rowOff>102974</xdr:rowOff>
    </xdr:from>
    <xdr:to>
      <xdr:col>5</xdr:col>
      <xdr:colOff>585918</xdr:colOff>
      <xdr:row>37</xdr:row>
      <xdr:rowOff>154459</xdr:rowOff>
    </xdr:to>
    <xdr:grpSp>
      <xdr:nvGrpSpPr>
        <xdr:cNvPr id="78" name="Group 77">
          <a:extLst>
            <a:ext uri="{FF2B5EF4-FFF2-40B4-BE49-F238E27FC236}">
              <a16:creationId xmlns:a16="http://schemas.microsoft.com/office/drawing/2014/main" id="{FAD4D40F-9C95-350B-0D36-DCA859974B90}"/>
            </a:ext>
          </a:extLst>
        </xdr:cNvPr>
        <xdr:cNvGrpSpPr/>
      </xdr:nvGrpSpPr>
      <xdr:grpSpPr>
        <a:xfrm>
          <a:off x="228805" y="4852602"/>
          <a:ext cx="3381944" cy="2561452"/>
          <a:chOff x="7295325" y="2213919"/>
          <a:chExt cx="3381944" cy="2561452"/>
        </a:xfrm>
      </xdr:grpSpPr>
      <xdr:sp macro="" textlink="">
        <xdr:nvSpPr>
          <xdr:cNvPr id="61" name="Rectangle: Rounded Corners 60">
            <a:extLst>
              <a:ext uri="{FF2B5EF4-FFF2-40B4-BE49-F238E27FC236}">
                <a16:creationId xmlns:a16="http://schemas.microsoft.com/office/drawing/2014/main" id="{FC4BD712-C477-4BD9-86AD-73FF01796924}"/>
              </a:ext>
            </a:extLst>
          </xdr:cNvPr>
          <xdr:cNvSpPr/>
        </xdr:nvSpPr>
        <xdr:spPr>
          <a:xfrm>
            <a:off x="7295325" y="2213919"/>
            <a:ext cx="3381944" cy="2561452"/>
          </a:xfrm>
          <a:prstGeom prst="roundRect">
            <a:avLst>
              <a:gd name="adj" fmla="val 55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3" name="Chart 72">
            <a:extLst>
              <a:ext uri="{FF2B5EF4-FFF2-40B4-BE49-F238E27FC236}">
                <a16:creationId xmlns:a16="http://schemas.microsoft.com/office/drawing/2014/main" id="{3B7B776E-1027-4217-8B82-8B33EE2AE869}"/>
              </a:ext>
            </a:extLst>
          </xdr:cNvPr>
          <xdr:cNvGraphicFramePr>
            <a:graphicFrameLocks/>
          </xdr:cNvGraphicFramePr>
        </xdr:nvGraphicFramePr>
        <xdr:xfrm>
          <a:off x="7323953" y="2574324"/>
          <a:ext cx="3333751" cy="2149562"/>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74" name="TextBox 73">
            <a:extLst>
              <a:ext uri="{FF2B5EF4-FFF2-40B4-BE49-F238E27FC236}">
                <a16:creationId xmlns:a16="http://schemas.microsoft.com/office/drawing/2014/main" id="{CD5A6A8B-DEAC-4BD3-B50E-55240C2C50C7}"/>
              </a:ext>
            </a:extLst>
          </xdr:cNvPr>
          <xdr:cNvSpPr txBox="1"/>
        </xdr:nvSpPr>
        <xdr:spPr>
          <a:xfrm>
            <a:off x="8044763" y="2304019"/>
            <a:ext cx="1905000" cy="347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Black" panose="020B0A04020102020204" pitchFamily="34" charset="0"/>
              </a:rPr>
              <a:t>Monthly Revenue</a:t>
            </a:r>
          </a:p>
        </xdr:txBody>
      </xdr:sp>
    </xdr:grpSp>
    <xdr:clientData/>
  </xdr:twoCellAnchor>
  <xdr:twoCellAnchor>
    <xdr:from>
      <xdr:col>7</xdr:col>
      <xdr:colOff>514864</xdr:colOff>
      <xdr:row>25</xdr:row>
      <xdr:rowOff>38614</xdr:rowOff>
    </xdr:from>
    <xdr:to>
      <xdr:col>10</xdr:col>
      <xdr:colOff>501993</xdr:colOff>
      <xdr:row>27</xdr:row>
      <xdr:rowOff>25743</xdr:rowOff>
    </xdr:to>
    <xdr:sp macro="" textlink="">
      <xdr:nvSpPr>
        <xdr:cNvPr id="79" name="TextBox 78">
          <a:extLst>
            <a:ext uri="{FF2B5EF4-FFF2-40B4-BE49-F238E27FC236}">
              <a16:creationId xmlns:a16="http://schemas.microsoft.com/office/drawing/2014/main" id="{8C49EFFF-0E5C-4EF3-9481-5583BB2E8DBC}"/>
            </a:ext>
          </a:extLst>
        </xdr:cNvPr>
        <xdr:cNvSpPr txBox="1"/>
      </xdr:nvSpPr>
      <xdr:spPr>
        <a:xfrm>
          <a:off x="4749628" y="4981317"/>
          <a:ext cx="1802027" cy="373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rial Black" panose="020B0A04020102020204" pitchFamily="34" charset="0"/>
            </a:rPr>
            <a:t>Reveune</a:t>
          </a:r>
          <a:r>
            <a:rPr lang="en-US" sz="1400" baseline="0">
              <a:latin typeface="Arial Black" panose="020B0A04020102020204" pitchFamily="34" charset="0"/>
            </a:rPr>
            <a:t> by City</a:t>
          </a:r>
          <a:endParaRPr lang="en-US" sz="1400">
            <a:latin typeface="Arial Black" panose="020B0A04020102020204" pitchFamily="34" charset="0"/>
          </a:endParaRPr>
        </a:p>
      </xdr:txBody>
    </xdr:sp>
    <xdr:clientData/>
  </xdr:twoCellAnchor>
  <xdr:twoCellAnchor>
    <xdr:from>
      <xdr:col>12</xdr:col>
      <xdr:colOff>145781</xdr:colOff>
      <xdr:row>11</xdr:row>
      <xdr:rowOff>36557</xdr:rowOff>
    </xdr:from>
    <xdr:to>
      <xdr:col>17</xdr:col>
      <xdr:colOff>321791</xdr:colOff>
      <xdr:row>23</xdr:row>
      <xdr:rowOff>167332</xdr:rowOff>
    </xdr:to>
    <xdr:grpSp>
      <xdr:nvGrpSpPr>
        <xdr:cNvPr id="87" name="Group 86">
          <a:extLst>
            <a:ext uri="{FF2B5EF4-FFF2-40B4-BE49-F238E27FC236}">
              <a16:creationId xmlns:a16="http://schemas.microsoft.com/office/drawing/2014/main" id="{302C5345-A16F-E45F-062C-099311D89A62}"/>
            </a:ext>
          </a:extLst>
        </xdr:cNvPr>
        <xdr:cNvGrpSpPr/>
      </xdr:nvGrpSpPr>
      <xdr:grpSpPr>
        <a:xfrm>
          <a:off x="7405376" y="2276219"/>
          <a:ext cx="3200841" cy="2447667"/>
          <a:chOff x="7405376" y="2276219"/>
          <a:chExt cx="3200841" cy="2447667"/>
        </a:xfrm>
      </xdr:grpSpPr>
      <xdr:graphicFrame macro="">
        <xdr:nvGraphicFramePr>
          <xdr:cNvPr id="80" name="Chart 79">
            <a:extLst>
              <a:ext uri="{FF2B5EF4-FFF2-40B4-BE49-F238E27FC236}">
                <a16:creationId xmlns:a16="http://schemas.microsoft.com/office/drawing/2014/main" id="{DFE3377D-F42B-4D00-B873-86848F7EEE87}"/>
              </a:ext>
            </a:extLst>
          </xdr:cNvPr>
          <xdr:cNvGraphicFramePr>
            <a:graphicFrameLocks/>
          </xdr:cNvGraphicFramePr>
        </xdr:nvGraphicFramePr>
        <xdr:xfrm>
          <a:off x="7405376" y="2728786"/>
          <a:ext cx="3200841" cy="19951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81" name="TextBox 80">
            <a:extLst>
              <a:ext uri="{FF2B5EF4-FFF2-40B4-BE49-F238E27FC236}">
                <a16:creationId xmlns:a16="http://schemas.microsoft.com/office/drawing/2014/main" id="{A198DB36-D6C9-4DCD-91D6-28FEC8DBDC5C}"/>
              </a:ext>
            </a:extLst>
          </xdr:cNvPr>
          <xdr:cNvSpPr txBox="1"/>
        </xdr:nvSpPr>
        <xdr:spPr>
          <a:xfrm>
            <a:off x="7479646" y="2276219"/>
            <a:ext cx="3049339"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Arial Black" panose="020B0A04020102020204" pitchFamily="34" charset="0"/>
              </a:rPr>
              <a:t>Revenue</a:t>
            </a:r>
            <a:r>
              <a:rPr lang="en-US" sz="1200">
                <a:latin typeface="Arial Black" panose="020B0A04020102020204" pitchFamily="34" charset="0"/>
              </a:rPr>
              <a:t> by Payment</a:t>
            </a:r>
            <a:r>
              <a:rPr lang="en-US" sz="1200" baseline="0">
                <a:latin typeface="Arial Black" panose="020B0A04020102020204" pitchFamily="34" charset="0"/>
              </a:rPr>
              <a:t> Method</a:t>
            </a:r>
            <a:endParaRPr lang="en-US" sz="1200">
              <a:latin typeface="Arial Black" panose="020B0A04020102020204" pitchFamily="34" charset="0"/>
            </a:endParaRPr>
          </a:p>
        </xdr:txBody>
      </xdr:sp>
    </xdr:grpSp>
    <xdr:clientData/>
  </xdr:twoCellAnchor>
  <xdr:twoCellAnchor>
    <xdr:from>
      <xdr:col>6</xdr:col>
      <xdr:colOff>205945</xdr:colOff>
      <xdr:row>26</xdr:row>
      <xdr:rowOff>154459</xdr:rowOff>
    </xdr:from>
    <xdr:to>
      <xdr:col>11</xdr:col>
      <xdr:colOff>424763</xdr:colOff>
      <xdr:row>37</xdr:row>
      <xdr:rowOff>167331</xdr:rowOff>
    </xdr:to>
    <xdr:graphicFrame macro="">
      <xdr:nvGraphicFramePr>
        <xdr:cNvPr id="82" name="Chart 81">
          <a:extLst>
            <a:ext uri="{FF2B5EF4-FFF2-40B4-BE49-F238E27FC236}">
              <a16:creationId xmlns:a16="http://schemas.microsoft.com/office/drawing/2014/main" id="{3C72170B-C379-4153-BB1A-89C87F5EA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81421</xdr:colOff>
      <xdr:row>26</xdr:row>
      <xdr:rowOff>141588</xdr:rowOff>
    </xdr:from>
    <xdr:to>
      <xdr:col>17</xdr:col>
      <xdr:colOff>386148</xdr:colOff>
      <xdr:row>37</xdr:row>
      <xdr:rowOff>116950</xdr:rowOff>
    </xdr:to>
    <xdr:graphicFrame macro="">
      <xdr:nvGraphicFramePr>
        <xdr:cNvPr id="85" name="Chart 84">
          <a:extLst>
            <a:ext uri="{FF2B5EF4-FFF2-40B4-BE49-F238E27FC236}">
              <a16:creationId xmlns:a16="http://schemas.microsoft.com/office/drawing/2014/main" id="{1BA7AAFB-B4D3-418E-B93A-ABAA95560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463376</xdr:colOff>
      <xdr:row>24</xdr:row>
      <xdr:rowOff>193074</xdr:rowOff>
    </xdr:from>
    <xdr:to>
      <xdr:col>17</xdr:col>
      <xdr:colOff>141588</xdr:colOff>
      <xdr:row>26</xdr:row>
      <xdr:rowOff>180205</xdr:rowOff>
    </xdr:to>
    <xdr:sp macro="" textlink="">
      <xdr:nvSpPr>
        <xdr:cNvPr id="86" name="TextBox 85">
          <a:extLst>
            <a:ext uri="{FF2B5EF4-FFF2-40B4-BE49-F238E27FC236}">
              <a16:creationId xmlns:a16="http://schemas.microsoft.com/office/drawing/2014/main" id="{0C8E4505-0A04-411C-B6AF-35F84DDE7093}"/>
            </a:ext>
          </a:extLst>
        </xdr:cNvPr>
        <xdr:cNvSpPr txBox="1"/>
      </xdr:nvSpPr>
      <xdr:spPr>
        <a:xfrm>
          <a:off x="7722971" y="4942702"/>
          <a:ext cx="2703043" cy="373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Arial Black" panose="020B0A04020102020204" pitchFamily="34" charset="0"/>
            </a:rPr>
            <a:t>Salesperson Performance</a:t>
          </a:r>
        </a:p>
      </xdr:txBody>
    </xdr:sp>
    <xdr:clientData/>
  </xdr:twoCellAnchor>
  <xdr:twoCellAnchor>
    <xdr:from>
      <xdr:col>0</xdr:col>
      <xdr:colOff>229960</xdr:colOff>
      <xdr:row>6</xdr:row>
      <xdr:rowOff>90971</xdr:rowOff>
    </xdr:from>
    <xdr:to>
      <xdr:col>17</xdr:col>
      <xdr:colOff>489049</xdr:colOff>
      <xdr:row>10</xdr:row>
      <xdr:rowOff>215051</xdr:rowOff>
    </xdr:to>
    <xdr:grpSp>
      <xdr:nvGrpSpPr>
        <xdr:cNvPr id="64" name="Group 63">
          <a:extLst>
            <a:ext uri="{FF2B5EF4-FFF2-40B4-BE49-F238E27FC236}">
              <a16:creationId xmlns:a16="http://schemas.microsoft.com/office/drawing/2014/main" id="{EB43A8EC-1607-21A2-6BBC-1BE8F1D3F614}"/>
            </a:ext>
          </a:extLst>
        </xdr:cNvPr>
        <xdr:cNvGrpSpPr/>
      </xdr:nvGrpSpPr>
      <xdr:grpSpPr>
        <a:xfrm>
          <a:off x="229960" y="1249417"/>
          <a:ext cx="10543515" cy="896377"/>
          <a:chOff x="229960" y="1249417"/>
          <a:chExt cx="10543515" cy="896377"/>
        </a:xfrm>
      </xdr:grpSpPr>
      <xdr:grpSp>
        <xdr:nvGrpSpPr>
          <xdr:cNvPr id="16" name="Group 15">
            <a:extLst>
              <a:ext uri="{FF2B5EF4-FFF2-40B4-BE49-F238E27FC236}">
                <a16:creationId xmlns:a16="http://schemas.microsoft.com/office/drawing/2014/main" id="{9A06C6D0-9E17-E277-9E8D-AFD78105DC85}"/>
              </a:ext>
            </a:extLst>
          </xdr:cNvPr>
          <xdr:cNvGrpSpPr/>
        </xdr:nvGrpSpPr>
        <xdr:grpSpPr>
          <a:xfrm>
            <a:off x="2060880" y="1262288"/>
            <a:ext cx="1864966" cy="827673"/>
            <a:chOff x="2292568" y="1249417"/>
            <a:chExt cx="2113207" cy="827673"/>
          </a:xfrm>
        </xdr:grpSpPr>
        <xdr:sp macro="" textlink="">
          <xdr:nvSpPr>
            <xdr:cNvPr id="5" name="Rectangle: Rounded Corners 4">
              <a:extLst>
                <a:ext uri="{FF2B5EF4-FFF2-40B4-BE49-F238E27FC236}">
                  <a16:creationId xmlns:a16="http://schemas.microsoft.com/office/drawing/2014/main" id="{DD13D5BA-F59E-70C1-8362-5AD14C1244FC}"/>
                </a:ext>
              </a:extLst>
            </xdr:cNvPr>
            <xdr:cNvSpPr/>
          </xdr:nvSpPr>
          <xdr:spPr>
            <a:xfrm>
              <a:off x="2292568" y="1249417"/>
              <a:ext cx="1970707" cy="827673"/>
            </a:xfrm>
            <a:prstGeom prst="roundRect">
              <a:avLst>
                <a:gd name="adj" fmla="val 0"/>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A4">
          <xdr:nvSpPr>
            <xdr:cNvPr id="33" name="TextBox 32">
              <a:extLst>
                <a:ext uri="{FF2B5EF4-FFF2-40B4-BE49-F238E27FC236}">
                  <a16:creationId xmlns:a16="http://schemas.microsoft.com/office/drawing/2014/main" id="{9573B4F9-F737-441B-B18E-6A14A4FE6841}"/>
                </a:ext>
              </a:extLst>
            </xdr:cNvPr>
            <xdr:cNvSpPr txBox="1"/>
          </xdr:nvSpPr>
          <xdr:spPr>
            <a:xfrm>
              <a:off x="2820352" y="1295830"/>
              <a:ext cx="1585423" cy="377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65799C-CE0F-48C8-B379-4D57D4DE12E0}" type="TxLink">
                <a:rPr lang="en-US" sz="1800" b="1" i="0" u="none" strike="noStrike">
                  <a:solidFill>
                    <a:srgbClr val="000000"/>
                  </a:solidFill>
                  <a:latin typeface="Arial Black" panose="020B0A04020102020204" pitchFamily="34" charset="0"/>
                </a:rPr>
                <a:pPr/>
                <a:t>#43.25 M</a:t>
              </a:fld>
              <a:endParaRPr lang="en-US" sz="1800" b="1">
                <a:latin typeface="Arial Black" panose="020B0A04020102020204" pitchFamily="34" charset="0"/>
              </a:endParaRPr>
            </a:p>
          </xdr:txBody>
        </xdr:sp>
        <xdr:sp macro="" textlink="">
          <xdr:nvSpPr>
            <xdr:cNvPr id="34" name="TextBox 33">
              <a:extLst>
                <a:ext uri="{FF2B5EF4-FFF2-40B4-BE49-F238E27FC236}">
                  <a16:creationId xmlns:a16="http://schemas.microsoft.com/office/drawing/2014/main" id="{E53E8720-BFD8-467E-8016-D6C76E2B792E}"/>
                </a:ext>
              </a:extLst>
            </xdr:cNvPr>
            <xdr:cNvSpPr txBox="1"/>
          </xdr:nvSpPr>
          <xdr:spPr>
            <a:xfrm>
              <a:off x="2859148" y="1668122"/>
              <a:ext cx="1546626" cy="360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Total Revenue</a:t>
              </a:r>
            </a:p>
          </xdr:txBody>
        </xdr:sp>
        <xdr:pic>
          <xdr:nvPicPr>
            <xdr:cNvPr id="36" name="Graphic 35" descr="Money outline">
              <a:extLst>
                <a:ext uri="{FF2B5EF4-FFF2-40B4-BE49-F238E27FC236}">
                  <a16:creationId xmlns:a16="http://schemas.microsoft.com/office/drawing/2014/main" id="{5E569CB8-ACD7-A672-1FCE-EE98D5EF9A6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304883" y="1376002"/>
              <a:ext cx="585792" cy="463107"/>
            </a:xfrm>
            <a:prstGeom prst="rect">
              <a:avLst/>
            </a:prstGeom>
          </xdr:spPr>
        </xdr:pic>
      </xdr:grpSp>
      <xdr:grpSp>
        <xdr:nvGrpSpPr>
          <xdr:cNvPr id="29" name="Group 28">
            <a:extLst>
              <a:ext uri="{FF2B5EF4-FFF2-40B4-BE49-F238E27FC236}">
                <a16:creationId xmlns:a16="http://schemas.microsoft.com/office/drawing/2014/main" id="{453EE08A-B579-D00A-7E9B-55E3A9C58D39}"/>
              </a:ext>
            </a:extLst>
          </xdr:cNvPr>
          <xdr:cNvGrpSpPr/>
        </xdr:nvGrpSpPr>
        <xdr:grpSpPr>
          <a:xfrm>
            <a:off x="3848618" y="1262288"/>
            <a:ext cx="1917869" cy="838751"/>
            <a:chOff x="4408385" y="1249417"/>
            <a:chExt cx="2158695" cy="838751"/>
          </a:xfrm>
        </xdr:grpSpPr>
        <xdr:sp macro="" textlink="">
          <xdr:nvSpPr>
            <xdr:cNvPr id="8" name="Rectangle: Rounded Corners 7">
              <a:extLst>
                <a:ext uri="{FF2B5EF4-FFF2-40B4-BE49-F238E27FC236}">
                  <a16:creationId xmlns:a16="http://schemas.microsoft.com/office/drawing/2014/main" id="{FB12EA05-8FF5-4764-A7D4-7CE7B0E04EB8}"/>
                </a:ext>
              </a:extLst>
            </xdr:cNvPr>
            <xdr:cNvSpPr/>
          </xdr:nvSpPr>
          <xdr:spPr>
            <a:xfrm>
              <a:off x="4408385" y="1249417"/>
              <a:ext cx="2027425" cy="838751"/>
            </a:xfrm>
            <a:prstGeom prst="roundRect">
              <a:avLst>
                <a:gd name="adj" fmla="val 0"/>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C$4">
          <xdr:nvSpPr>
            <xdr:cNvPr id="39" name="TextBox 38">
              <a:extLst>
                <a:ext uri="{FF2B5EF4-FFF2-40B4-BE49-F238E27FC236}">
                  <a16:creationId xmlns:a16="http://schemas.microsoft.com/office/drawing/2014/main" id="{9BC53DC7-C186-4BAC-BC16-8A294FB2FFAF}"/>
                </a:ext>
              </a:extLst>
            </xdr:cNvPr>
            <xdr:cNvSpPr txBox="1"/>
          </xdr:nvSpPr>
          <xdr:spPr>
            <a:xfrm>
              <a:off x="5102083" y="1369209"/>
              <a:ext cx="1464997" cy="368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AFAD78-95C4-490E-BEF0-AF2D2C7ACFD0}" type="TxLink">
                <a:rPr lang="en-US" sz="2000" b="0" i="0" u="none" strike="noStrike">
                  <a:solidFill>
                    <a:srgbClr val="000000"/>
                  </a:solidFill>
                  <a:latin typeface="Aptos Black" panose="020F0502020204030204" pitchFamily="34" charset="0"/>
                </a:rPr>
                <a:pPr/>
                <a:t>#9.37 M</a:t>
              </a:fld>
              <a:endParaRPr lang="en-US" sz="2000">
                <a:latin typeface="Aptos Black" panose="020F0502020204030204" pitchFamily="34" charset="0"/>
              </a:endParaRPr>
            </a:p>
          </xdr:txBody>
        </xdr:sp>
        <xdr:sp macro="" textlink="">
          <xdr:nvSpPr>
            <xdr:cNvPr id="40" name="TextBox 39">
              <a:extLst>
                <a:ext uri="{FF2B5EF4-FFF2-40B4-BE49-F238E27FC236}">
                  <a16:creationId xmlns:a16="http://schemas.microsoft.com/office/drawing/2014/main" id="{F52B1EB3-760A-4F80-9A60-8FF116885FB1}"/>
                </a:ext>
              </a:extLst>
            </xdr:cNvPr>
            <xdr:cNvSpPr txBox="1"/>
          </xdr:nvSpPr>
          <xdr:spPr>
            <a:xfrm>
              <a:off x="5049558" y="1709594"/>
              <a:ext cx="1305155" cy="274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Arial Black" panose="020B0A04020102020204" pitchFamily="34" charset="0"/>
                </a:rPr>
                <a:t>Total Profit</a:t>
              </a:r>
            </a:p>
          </xdr:txBody>
        </xdr:sp>
        <xdr:pic>
          <xdr:nvPicPr>
            <xdr:cNvPr id="44" name="Graphic 43" descr="Bar graph with upward trend outline">
              <a:extLst>
                <a:ext uri="{FF2B5EF4-FFF2-40B4-BE49-F238E27FC236}">
                  <a16:creationId xmlns:a16="http://schemas.microsoft.com/office/drawing/2014/main" id="{284E62D1-7D9B-05D9-1C36-2A3FD173F59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496778" y="1410673"/>
              <a:ext cx="615323" cy="550401"/>
            </a:xfrm>
            <a:prstGeom prst="rect">
              <a:avLst/>
            </a:prstGeom>
          </xdr:spPr>
        </xdr:pic>
      </xdr:grpSp>
      <xdr:grpSp>
        <xdr:nvGrpSpPr>
          <xdr:cNvPr id="57" name="Group 56">
            <a:extLst>
              <a:ext uri="{FF2B5EF4-FFF2-40B4-BE49-F238E27FC236}">
                <a16:creationId xmlns:a16="http://schemas.microsoft.com/office/drawing/2014/main" id="{AC6A5A6E-AB6C-9E6D-37A1-F77BCCC108EB}"/>
              </a:ext>
            </a:extLst>
          </xdr:cNvPr>
          <xdr:cNvGrpSpPr/>
        </xdr:nvGrpSpPr>
        <xdr:grpSpPr>
          <a:xfrm>
            <a:off x="229960" y="1249417"/>
            <a:ext cx="1893858" cy="896377"/>
            <a:chOff x="229960" y="1249417"/>
            <a:chExt cx="1893858" cy="896377"/>
          </a:xfrm>
        </xdr:grpSpPr>
        <xdr:sp macro="" textlink="">
          <xdr:nvSpPr>
            <xdr:cNvPr id="3" name="Rectangle: Rounded Corners 2">
              <a:extLst>
                <a:ext uri="{FF2B5EF4-FFF2-40B4-BE49-F238E27FC236}">
                  <a16:creationId xmlns:a16="http://schemas.microsoft.com/office/drawing/2014/main" id="{4605992B-E0A3-9244-B99F-E2871B2086A8}"/>
                </a:ext>
              </a:extLst>
            </xdr:cNvPr>
            <xdr:cNvSpPr/>
          </xdr:nvSpPr>
          <xdr:spPr>
            <a:xfrm>
              <a:off x="229960" y="1249417"/>
              <a:ext cx="1778013" cy="838750"/>
            </a:xfrm>
            <a:prstGeom prst="roundRect">
              <a:avLst>
                <a:gd name="adj" fmla="val 0"/>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5A27EB9B-4C01-E2A1-8228-DEF689E1BC1E}"/>
                </a:ext>
              </a:extLst>
            </xdr:cNvPr>
            <xdr:cNvSpPr txBox="1"/>
          </xdr:nvSpPr>
          <xdr:spPr>
            <a:xfrm>
              <a:off x="642632" y="1786330"/>
              <a:ext cx="1446849" cy="359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Arial Black" panose="020B0A04020102020204" pitchFamily="34" charset="0"/>
                </a:rPr>
                <a:t>Sales Period</a:t>
              </a:r>
            </a:p>
          </xdr:txBody>
        </xdr:sp>
        <xdr:sp macro="" textlink="">
          <xdr:nvSpPr>
            <xdr:cNvPr id="7" name="TextBox 6">
              <a:extLst>
                <a:ext uri="{FF2B5EF4-FFF2-40B4-BE49-F238E27FC236}">
                  <a16:creationId xmlns:a16="http://schemas.microsoft.com/office/drawing/2014/main" id="{29E92737-F41B-41E9-90C3-B6307EA8D838}"/>
                </a:ext>
              </a:extLst>
            </xdr:cNvPr>
            <xdr:cNvSpPr txBox="1"/>
          </xdr:nvSpPr>
          <xdr:spPr>
            <a:xfrm>
              <a:off x="689061" y="1298750"/>
              <a:ext cx="1434757" cy="619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Arial Black" panose="020B0A04020102020204" pitchFamily="34" charset="0"/>
                </a:rPr>
                <a:t>05 Jan - 29 May</a:t>
              </a:r>
              <a:r>
                <a:rPr lang="en-US" sz="1400" baseline="0">
                  <a:latin typeface="Arial Black" panose="020B0A04020102020204" pitchFamily="34" charset="0"/>
                </a:rPr>
                <a:t> 2026</a:t>
              </a:r>
              <a:endParaRPr lang="en-US" sz="1400">
                <a:latin typeface="Arial Black" panose="020B0A04020102020204" pitchFamily="34" charset="0"/>
              </a:endParaRPr>
            </a:p>
          </xdr:txBody>
        </xdr:sp>
        <xdr:pic>
          <xdr:nvPicPr>
            <xdr:cNvPr id="15" name="Graphic 14" descr="Daily calendar outline">
              <a:extLst>
                <a:ext uri="{FF2B5EF4-FFF2-40B4-BE49-F238E27FC236}">
                  <a16:creationId xmlns:a16="http://schemas.microsoft.com/office/drawing/2014/main" id="{61469DF5-1A54-2928-A9D6-F5138BCF3C4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76889" y="1451199"/>
              <a:ext cx="449908" cy="463678"/>
            </a:xfrm>
            <a:prstGeom prst="rect">
              <a:avLst/>
            </a:prstGeom>
          </xdr:spPr>
        </xdr:pic>
      </xdr:grpSp>
      <xdr:grpSp>
        <xdr:nvGrpSpPr>
          <xdr:cNvPr id="31" name="Group 30">
            <a:extLst>
              <a:ext uri="{FF2B5EF4-FFF2-40B4-BE49-F238E27FC236}">
                <a16:creationId xmlns:a16="http://schemas.microsoft.com/office/drawing/2014/main" id="{CD90B79A-10F3-69FE-D5F0-88138FDD0446}"/>
              </a:ext>
            </a:extLst>
          </xdr:cNvPr>
          <xdr:cNvGrpSpPr/>
        </xdr:nvGrpSpPr>
        <xdr:grpSpPr>
          <a:xfrm>
            <a:off x="7285338" y="1262288"/>
            <a:ext cx="1776283" cy="838750"/>
            <a:chOff x="6590269" y="1249417"/>
            <a:chExt cx="2130449" cy="838750"/>
          </a:xfrm>
        </xdr:grpSpPr>
        <xdr:sp macro="" textlink="">
          <xdr:nvSpPr>
            <xdr:cNvPr id="9" name="Rectangle: Rounded Corners 8">
              <a:extLst>
                <a:ext uri="{FF2B5EF4-FFF2-40B4-BE49-F238E27FC236}">
                  <a16:creationId xmlns:a16="http://schemas.microsoft.com/office/drawing/2014/main" id="{6028C921-69AC-4D53-9ABA-73F333686DFA}"/>
                </a:ext>
              </a:extLst>
            </xdr:cNvPr>
            <xdr:cNvSpPr/>
          </xdr:nvSpPr>
          <xdr:spPr>
            <a:xfrm>
              <a:off x="6590269" y="1249417"/>
              <a:ext cx="2025207" cy="838750"/>
            </a:xfrm>
            <a:prstGeom prst="roundRect">
              <a:avLst>
                <a:gd name="adj" fmla="val 0"/>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E$4">
          <xdr:nvSpPr>
            <xdr:cNvPr id="46" name="TextBox 45">
              <a:extLst>
                <a:ext uri="{FF2B5EF4-FFF2-40B4-BE49-F238E27FC236}">
                  <a16:creationId xmlns:a16="http://schemas.microsoft.com/office/drawing/2014/main" id="{38753954-8732-43C4-B334-475F40CE8CFB}"/>
                </a:ext>
              </a:extLst>
            </xdr:cNvPr>
            <xdr:cNvSpPr txBox="1"/>
          </xdr:nvSpPr>
          <xdr:spPr>
            <a:xfrm>
              <a:off x="7552241" y="1306773"/>
              <a:ext cx="780456" cy="39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253E66-5E9B-4A26-9251-2AF60E912B80}" type="TxLink">
                <a:rPr lang="en-US" sz="2200" b="1" i="0" u="none" strike="noStrike">
                  <a:solidFill>
                    <a:srgbClr val="000000"/>
                  </a:solidFill>
                  <a:latin typeface="Arial Black" panose="020B0A04020102020204" pitchFamily="34" charset="0"/>
                </a:rPr>
                <a:pPr/>
                <a:t>49</a:t>
              </a:fld>
              <a:endParaRPr lang="en-US" sz="2200" b="1">
                <a:latin typeface="Arial Black" panose="020B0A04020102020204" pitchFamily="34" charset="0"/>
              </a:endParaRPr>
            </a:p>
          </xdr:txBody>
        </xdr:sp>
        <xdr:sp macro="" textlink="">
          <xdr:nvSpPr>
            <xdr:cNvPr id="47" name="TextBox 46">
              <a:extLst>
                <a:ext uri="{FF2B5EF4-FFF2-40B4-BE49-F238E27FC236}">
                  <a16:creationId xmlns:a16="http://schemas.microsoft.com/office/drawing/2014/main" id="{27B9B120-7EAF-45CA-88C0-FC752FDBB39C}"/>
                </a:ext>
              </a:extLst>
            </xdr:cNvPr>
            <xdr:cNvSpPr txBox="1"/>
          </xdr:nvSpPr>
          <xdr:spPr>
            <a:xfrm>
              <a:off x="7109798" y="1711409"/>
              <a:ext cx="1610920" cy="309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rial Black" panose="020B0A04020102020204" pitchFamily="34" charset="0"/>
                </a:rPr>
                <a:t>Total Orders</a:t>
              </a:r>
            </a:p>
          </xdr:txBody>
        </xdr:sp>
        <xdr:pic>
          <xdr:nvPicPr>
            <xdr:cNvPr id="102" name="Graphic 101" descr="Box trolley outline">
              <a:extLst>
                <a:ext uri="{FF2B5EF4-FFF2-40B4-BE49-F238E27FC236}">
                  <a16:creationId xmlns:a16="http://schemas.microsoft.com/office/drawing/2014/main" id="{8EF2BE78-BF9A-BA0C-600B-22A27B12D24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731858" y="1403007"/>
              <a:ext cx="604966" cy="604966"/>
            </a:xfrm>
            <a:prstGeom prst="rect">
              <a:avLst/>
            </a:prstGeom>
          </xdr:spPr>
        </xdr:pic>
      </xdr:grpSp>
      <xdr:grpSp>
        <xdr:nvGrpSpPr>
          <xdr:cNvPr id="32" name="Group 31">
            <a:extLst>
              <a:ext uri="{FF2B5EF4-FFF2-40B4-BE49-F238E27FC236}">
                <a16:creationId xmlns:a16="http://schemas.microsoft.com/office/drawing/2014/main" id="{3F889FB1-2ADC-DDAF-9ECC-F400506EBCBB}"/>
              </a:ext>
            </a:extLst>
          </xdr:cNvPr>
          <xdr:cNvGrpSpPr/>
        </xdr:nvGrpSpPr>
        <xdr:grpSpPr>
          <a:xfrm>
            <a:off x="9023007" y="1249417"/>
            <a:ext cx="1750468" cy="842075"/>
            <a:chOff x="8752702" y="1249417"/>
            <a:chExt cx="2020773" cy="842075"/>
          </a:xfrm>
        </xdr:grpSpPr>
        <xdr:sp macro="" textlink="">
          <xdr:nvSpPr>
            <xdr:cNvPr id="10" name="Rectangle: Rounded Corners 9">
              <a:extLst>
                <a:ext uri="{FF2B5EF4-FFF2-40B4-BE49-F238E27FC236}">
                  <a16:creationId xmlns:a16="http://schemas.microsoft.com/office/drawing/2014/main" id="{5E619CF7-FB9A-48C2-ACC6-08BE56A4057B}"/>
                </a:ext>
              </a:extLst>
            </xdr:cNvPr>
            <xdr:cNvSpPr/>
          </xdr:nvSpPr>
          <xdr:spPr>
            <a:xfrm>
              <a:off x="8752702" y="1249417"/>
              <a:ext cx="1978241" cy="838672"/>
            </a:xfrm>
            <a:prstGeom prst="roundRect">
              <a:avLst>
                <a:gd name="adj" fmla="val 0"/>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G$4">
          <xdr:nvSpPr>
            <xdr:cNvPr id="53" name="TextBox 52">
              <a:extLst>
                <a:ext uri="{FF2B5EF4-FFF2-40B4-BE49-F238E27FC236}">
                  <a16:creationId xmlns:a16="http://schemas.microsoft.com/office/drawing/2014/main" id="{E7D5FEB2-F1D7-4B2A-9538-1D8700BB7A31}"/>
                </a:ext>
              </a:extLst>
            </xdr:cNvPr>
            <xdr:cNvSpPr txBox="1"/>
          </xdr:nvSpPr>
          <xdr:spPr>
            <a:xfrm>
              <a:off x="9642910" y="1294749"/>
              <a:ext cx="784607" cy="36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84986C-5B0F-49D8-960B-A081F6095D85}" type="TxLink">
                <a:rPr lang="en-US" sz="2000" b="0" i="0" u="none" strike="noStrike">
                  <a:solidFill>
                    <a:srgbClr val="000000"/>
                  </a:solidFill>
                  <a:latin typeface="Arial Black" panose="020B0A04020102020204" pitchFamily="34" charset="0"/>
                </a:rPr>
                <a:pPr/>
                <a:t>591</a:t>
              </a:fld>
              <a:endParaRPr lang="en-US" sz="2000">
                <a:latin typeface="Arial Black" panose="020B0A04020102020204" pitchFamily="34" charset="0"/>
              </a:endParaRPr>
            </a:p>
          </xdr:txBody>
        </xdr:sp>
        <xdr:sp macro="" textlink="">
          <xdr:nvSpPr>
            <xdr:cNvPr id="54" name="TextBox 53">
              <a:extLst>
                <a:ext uri="{FF2B5EF4-FFF2-40B4-BE49-F238E27FC236}">
                  <a16:creationId xmlns:a16="http://schemas.microsoft.com/office/drawing/2014/main" id="{310FF994-F208-4E16-975F-4CE4184030B8}"/>
                </a:ext>
              </a:extLst>
            </xdr:cNvPr>
            <xdr:cNvSpPr txBox="1"/>
          </xdr:nvSpPr>
          <xdr:spPr>
            <a:xfrm>
              <a:off x="9247261" y="1578084"/>
              <a:ext cx="1526214" cy="513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rial Black" panose="020B0A04020102020204" pitchFamily="34" charset="0"/>
                </a:rPr>
                <a:t>Total Quantity</a:t>
              </a:r>
              <a:r>
                <a:rPr lang="en-US" sz="1100" baseline="0">
                  <a:latin typeface="Arial Black" panose="020B0A04020102020204" pitchFamily="34" charset="0"/>
                </a:rPr>
                <a:t> Sold</a:t>
              </a:r>
              <a:endParaRPr lang="en-US" sz="1100">
                <a:latin typeface="Arial Black" panose="020B0A04020102020204" pitchFamily="34" charset="0"/>
              </a:endParaRPr>
            </a:p>
          </xdr:txBody>
        </xdr:sp>
        <xdr:pic>
          <xdr:nvPicPr>
            <xdr:cNvPr id="12" name="Graphic 11" descr="Box outline">
              <a:extLst>
                <a:ext uri="{FF2B5EF4-FFF2-40B4-BE49-F238E27FC236}">
                  <a16:creationId xmlns:a16="http://schemas.microsoft.com/office/drawing/2014/main" id="{80D9735B-2C72-43A2-81D4-1CF97E6C9EE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772710" y="1348513"/>
              <a:ext cx="721480" cy="646064"/>
            </a:xfrm>
            <a:prstGeom prst="rect">
              <a:avLst/>
            </a:prstGeom>
          </xdr:spPr>
        </xdr:pic>
      </xdr:grpSp>
      <xdr:grpSp>
        <xdr:nvGrpSpPr>
          <xdr:cNvPr id="56" name="Group 55">
            <a:extLst>
              <a:ext uri="{FF2B5EF4-FFF2-40B4-BE49-F238E27FC236}">
                <a16:creationId xmlns:a16="http://schemas.microsoft.com/office/drawing/2014/main" id="{351898DB-A10D-380C-87DE-3F0EAF04EE9A}"/>
              </a:ext>
            </a:extLst>
          </xdr:cNvPr>
          <xdr:cNvGrpSpPr/>
        </xdr:nvGrpSpPr>
        <xdr:grpSpPr>
          <a:xfrm>
            <a:off x="5702129" y="1261419"/>
            <a:ext cx="1763413" cy="827673"/>
            <a:chOff x="5676385" y="1274290"/>
            <a:chExt cx="1763413" cy="827673"/>
          </a:xfrm>
        </xdr:grpSpPr>
        <xdr:grpSp>
          <xdr:nvGrpSpPr>
            <xdr:cNvPr id="37" name="Group 36">
              <a:extLst>
                <a:ext uri="{FF2B5EF4-FFF2-40B4-BE49-F238E27FC236}">
                  <a16:creationId xmlns:a16="http://schemas.microsoft.com/office/drawing/2014/main" id="{32829D55-587B-42BF-8234-59F61B9EDB20}"/>
                </a:ext>
              </a:extLst>
            </xdr:cNvPr>
            <xdr:cNvGrpSpPr/>
          </xdr:nvGrpSpPr>
          <xdr:grpSpPr>
            <a:xfrm>
              <a:off x="5689257" y="1274290"/>
              <a:ext cx="1750541" cy="827673"/>
              <a:chOff x="2292568" y="1249417"/>
              <a:chExt cx="2235271" cy="827673"/>
            </a:xfrm>
          </xdr:grpSpPr>
          <xdr:sp macro="" textlink="">
            <xdr:nvSpPr>
              <xdr:cNvPr id="38" name="Rectangle: Rounded Corners 37">
                <a:extLst>
                  <a:ext uri="{FF2B5EF4-FFF2-40B4-BE49-F238E27FC236}">
                    <a16:creationId xmlns:a16="http://schemas.microsoft.com/office/drawing/2014/main" id="{B43F34BA-31A8-4299-8DD8-2BC29383E396}"/>
                  </a:ext>
                </a:extLst>
              </xdr:cNvPr>
              <xdr:cNvSpPr/>
            </xdr:nvSpPr>
            <xdr:spPr>
              <a:xfrm>
                <a:off x="2292568" y="1249417"/>
                <a:ext cx="1970707" cy="827673"/>
              </a:xfrm>
              <a:prstGeom prst="roundRect">
                <a:avLst>
                  <a:gd name="adj" fmla="val 0"/>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I4">
            <xdr:nvSpPr>
              <xdr:cNvPr id="43" name="TextBox 42">
                <a:extLst>
                  <a:ext uri="{FF2B5EF4-FFF2-40B4-BE49-F238E27FC236}">
                    <a16:creationId xmlns:a16="http://schemas.microsoft.com/office/drawing/2014/main" id="{B02E76F0-35ED-CBC8-8E7C-840DD3E21F25}"/>
                  </a:ext>
                </a:extLst>
              </xdr:cNvPr>
              <xdr:cNvSpPr txBox="1"/>
            </xdr:nvSpPr>
            <xdr:spPr>
              <a:xfrm>
                <a:off x="2794568" y="1347317"/>
                <a:ext cx="1733271" cy="377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09C08A-3277-4DCE-A0E6-3B345CC09318}" type="TxLink">
                  <a:rPr lang="en-US" sz="2000" b="0" i="0" u="none" strike="noStrike">
                    <a:solidFill>
                      <a:srgbClr val="000000"/>
                    </a:solidFill>
                    <a:latin typeface="Arial Black" panose="020B0A04020102020204" pitchFamily="34" charset="0"/>
                  </a:rPr>
                  <a:pPr/>
                  <a:t>21.66%</a:t>
                </a:fld>
                <a:endParaRPr lang="en-US" sz="2000" b="1" i="0" u="none" strike="noStrike">
                  <a:solidFill>
                    <a:srgbClr val="000000"/>
                  </a:solidFill>
                  <a:latin typeface="Arial Black" panose="020B0A04020102020204" pitchFamily="34" charset="0"/>
                </a:endParaRPr>
              </a:p>
            </xdr:txBody>
          </xdr:sp>
          <xdr:sp macro="" textlink="">
            <xdr:nvSpPr>
              <xdr:cNvPr id="48" name="TextBox 47">
                <a:extLst>
                  <a:ext uri="{FF2B5EF4-FFF2-40B4-BE49-F238E27FC236}">
                    <a16:creationId xmlns:a16="http://schemas.microsoft.com/office/drawing/2014/main" id="{6328E937-E0EE-A0E5-C2AB-5ABB07F8C919}"/>
                  </a:ext>
                </a:extLst>
              </xdr:cNvPr>
              <xdr:cNvSpPr txBox="1"/>
            </xdr:nvSpPr>
            <xdr:spPr>
              <a:xfrm>
                <a:off x="2645484" y="1693865"/>
                <a:ext cx="1849483" cy="360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rial Black" panose="020B0A04020102020204" pitchFamily="34" charset="0"/>
                  </a:rPr>
                  <a:t>Profit Margin</a:t>
                </a:r>
              </a:p>
            </xdr:txBody>
          </xdr:sp>
        </xdr:grpSp>
        <xdr:pic>
          <xdr:nvPicPr>
            <xdr:cNvPr id="51" name="Graphic 50" descr="Tax outline">
              <a:extLst>
                <a:ext uri="{FF2B5EF4-FFF2-40B4-BE49-F238E27FC236}">
                  <a16:creationId xmlns:a16="http://schemas.microsoft.com/office/drawing/2014/main" id="{DAE1A395-DC08-80CC-A898-9FCAE976987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676385" y="1441622"/>
              <a:ext cx="541122" cy="541122"/>
            </a:xfrm>
            <a:prstGeom prst="rect">
              <a:avLst/>
            </a:prstGeom>
          </xdr:spPr>
        </xdr:pic>
      </xdr:grpSp>
    </xdr:grpSp>
    <xdr:clientData/>
  </xdr:twoCellAnchor>
  <xdr:twoCellAnchor>
    <xdr:from>
      <xdr:col>18</xdr:col>
      <xdr:colOff>51486</xdr:colOff>
      <xdr:row>1</xdr:row>
      <xdr:rowOff>51488</xdr:rowOff>
    </xdr:from>
    <xdr:to>
      <xdr:col>27</xdr:col>
      <xdr:colOff>527736</xdr:colOff>
      <xdr:row>38</xdr:row>
      <xdr:rowOff>128717</xdr:rowOff>
    </xdr:to>
    <xdr:sp macro="" textlink="">
      <xdr:nvSpPr>
        <xdr:cNvPr id="66" name="TextBox 65">
          <a:extLst>
            <a:ext uri="{FF2B5EF4-FFF2-40B4-BE49-F238E27FC236}">
              <a16:creationId xmlns:a16="http://schemas.microsoft.com/office/drawing/2014/main" id="{84E08A25-CDE6-BD2F-185E-D7CA44FBAFA1}"/>
            </a:ext>
          </a:extLst>
        </xdr:cNvPr>
        <xdr:cNvSpPr txBox="1"/>
      </xdr:nvSpPr>
      <xdr:spPr>
        <a:xfrm>
          <a:off x="10940878" y="244562"/>
          <a:ext cx="5920946" cy="7336824"/>
        </a:xfrm>
        <a:prstGeom prst="rect">
          <a:avLst/>
        </a:prstGeom>
        <a:solidFill>
          <a:schemeClr val="lt1"/>
        </a:solid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Black" panose="020B0A04020102020204" pitchFamily="34" charset="0"/>
            </a:rPr>
            <a:t>Buisness</a:t>
          </a:r>
          <a:r>
            <a:rPr lang="en-US" sz="1400" b="1" baseline="0">
              <a:latin typeface="Arial Black" panose="020B0A04020102020204" pitchFamily="34" charset="0"/>
            </a:rPr>
            <a:t> Insight</a:t>
          </a:r>
        </a:p>
        <a:p>
          <a:pPr algn="just"/>
          <a:r>
            <a:rPr lang="en-US" sz="1300" b="0" baseline="0">
              <a:latin typeface="+mn-lt"/>
            </a:rPr>
            <a:t>1. </a:t>
          </a:r>
          <a:r>
            <a:rPr lang="en-US" sz="1300"/>
            <a:t>The business generated ₦43.25M in revenue and ₦9.37M in profit, resulting in an overall profit margin of 21.66%. This means approximately ₦21.66 of every ₦100 in revenue was retained as profit after the recorded costs.</a:t>
          </a:r>
          <a:endParaRPr lang="en-US" sz="1300" b="1" baseline="0">
            <a:latin typeface="Arial Black" panose="020B0A04020102020204" pitchFamily="34" charset="0"/>
          </a:endParaRPr>
        </a:p>
        <a:p>
          <a:pPr algn="just"/>
          <a:r>
            <a:rPr lang="en-US" sz="1300" b="1" baseline="0">
              <a:latin typeface="+mn-lt"/>
            </a:rPr>
            <a:t>2. </a:t>
          </a:r>
          <a:r>
            <a:rPr lang="en-US" sz="1300"/>
            <a:t>Electronics is the largest revenue contributor, generating approximately ₦23.78M, or 55% of total revenue. However, its profit contribution is only moderately higher than Accessories despite its substantially higher revenue. This suggests that Electronics should be evaluated not only for sales volume but also for margin efficiency.</a:t>
          </a:r>
          <a:endParaRPr lang="en-US" sz="1300" b="0" baseline="0">
            <a:latin typeface="+mn-lt"/>
          </a:endParaRPr>
        </a:p>
        <a:p>
          <a:pPr algn="just"/>
          <a:r>
            <a:rPr lang="en-US" sz="1300" b="1" baseline="0">
              <a:latin typeface="+mn-lt"/>
            </a:rPr>
            <a:t>3</a:t>
          </a:r>
          <a:r>
            <a:rPr lang="en-US" sz="1300" b="0" baseline="0">
              <a:latin typeface="+mn-lt"/>
            </a:rPr>
            <a:t>. </a:t>
          </a:r>
          <a:r>
            <a:rPr lang="en-US" sz="1300"/>
            <a:t>Accessories generated approximately ₦9.27M in revenue but contributed ₦3.33M in profit, giving the category an estimated margin of about 36%. Its relatively high margin indicates that Accessories contributes disproportionately to profitability compared with its revenue share.</a:t>
          </a:r>
        </a:p>
        <a:p>
          <a:pPr algn="just"/>
          <a:r>
            <a:rPr lang="en-US" sz="1300" b="1" baseline="0">
              <a:latin typeface="+mn-lt"/>
            </a:rPr>
            <a:t>4. </a:t>
          </a:r>
          <a:r>
            <a:rPr lang="en-US" sz="1300"/>
            <a:t>Lagos generated approximately ₦14.56M, representing about 33.7% of total revenue and making it the largest revenue-contributing city. Abuja followed with approximately ₦8.84M. This indicates that sales are concentrated in a relatively small number of markets.</a:t>
          </a:r>
        </a:p>
        <a:p>
          <a:pPr algn="just"/>
          <a:r>
            <a:rPr lang="en-US" sz="1300" b="1" baseline="0">
              <a:latin typeface="+mn-lt"/>
            </a:rPr>
            <a:t>5. </a:t>
          </a:r>
          <a:r>
            <a:rPr lang="en-US" sz="1400"/>
            <a:t>Monthly revenue increased from ₦7.61M in January to ₦10.08M in May, although performance declined to ₦7.55M in April before recovering in May. The fluctuation indicates that revenue growth was not consistent across all months.</a:t>
          </a:r>
          <a:endParaRPr lang="en-US" sz="1300" b="1" baseline="0">
            <a:latin typeface="+mn-lt"/>
          </a:endParaRPr>
        </a:p>
        <a:p>
          <a:pPr algn="ctr"/>
          <a:endParaRPr lang="en-US" sz="1400" b="1" baseline="0">
            <a:latin typeface="Arial Black" panose="020B0A040201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prstClr val="black"/>
              </a:solidFill>
              <a:effectLst/>
              <a:uLnTx/>
              <a:uFillTx/>
              <a:latin typeface="Arial Black" panose="020B0A04020102020204" pitchFamily="34" charset="0"/>
              <a:ea typeface="+mn-ea"/>
              <a:cs typeface="+mn-cs"/>
            </a:rPr>
            <a:t>RECOMMENDATION</a:t>
          </a:r>
        </a:p>
        <a:p>
          <a:pPr algn="just"/>
          <a:r>
            <a:rPr lang="en-US" sz="1400" b="1" baseline="0">
              <a:latin typeface="Arial Black" panose="020B0A04020102020204" pitchFamily="34" charset="0"/>
            </a:rPr>
            <a:t> </a:t>
          </a:r>
          <a:r>
            <a:rPr lang="en-US" sz="1400" b="1" baseline="0">
              <a:latin typeface="+mn-lt"/>
            </a:rPr>
            <a:t>1. </a:t>
          </a:r>
          <a:r>
            <a:rPr lang="en-US" sz="1400"/>
            <a:t>Management should monitor profit margin alongside revenue growth to ensure that increases in sales are also translating into sustainable profitability.</a:t>
          </a:r>
        </a:p>
        <a:p>
          <a:pPr algn="just"/>
          <a:r>
            <a:rPr lang="en-US" sz="1400" b="1" baseline="0">
              <a:latin typeface="+mn-lt"/>
            </a:rPr>
            <a:t>2. </a:t>
          </a:r>
          <a:r>
            <a:rPr lang="en-US" sz="1400"/>
            <a:t>Review pricing, discount levels, and product costs within Electronics to identify opportunities to improve margins without unnecessarily reducing sales volume.</a:t>
          </a:r>
        </a:p>
        <a:p>
          <a:pPr algn="just"/>
          <a:r>
            <a:rPr lang="en-US" sz="1400" b="1" baseline="0">
              <a:latin typeface="+mn-lt"/>
            </a:rPr>
            <a:t>3. </a:t>
          </a:r>
          <a:r>
            <a:rPr lang="en-US" sz="1400"/>
            <a:t>Evaluate opportunities to increase Accessories sales through cross-selling and bundling with Electronics purchases, while maintaining the category's existing margin levels.</a:t>
          </a:r>
        </a:p>
        <a:p>
          <a:pPr algn="just"/>
          <a:r>
            <a:rPr lang="en-US" sz="1400" b="1" baseline="0">
              <a:latin typeface="+mn-lt"/>
            </a:rPr>
            <a:t>4. </a:t>
          </a:r>
          <a:r>
            <a:rPr lang="en-US" sz="1400"/>
            <a:t>Maintain strong coverage in Lagos while evaluating the factors driving its performance,</a:t>
          </a:r>
          <a:r>
            <a:rPr lang="en-US" sz="1400" baseline="0"/>
            <a:t> </a:t>
          </a:r>
          <a:r>
            <a:rPr lang="en-US" sz="1400"/>
            <a:t>such as customer type, product mix, and order volume,</a:t>
          </a:r>
          <a:r>
            <a:rPr lang="en-US" sz="1400" baseline="0"/>
            <a:t> </a:t>
          </a:r>
          <a:r>
            <a:rPr lang="en-US" sz="1400"/>
            <a:t>to identify practices that could be replicated in other markets.</a:t>
          </a:r>
        </a:p>
        <a:p>
          <a:pPr algn="just"/>
          <a:r>
            <a:rPr lang="en-US" sz="1400" b="1" baseline="0">
              <a:latin typeface="+mn-lt"/>
            </a:rPr>
            <a:t>5. </a:t>
          </a:r>
          <a:r>
            <a:rPr lang="en-US" sz="1400"/>
            <a:t>Investigate the factors behind the April decline and May recovery, particularly product mix, customer type, order volume, and salesperson performance, before assuming the May increase represents a sustained growth trend.</a:t>
          </a:r>
          <a:endParaRPr lang="en-US" sz="1400" b="1" baseline="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28576</xdr:colOff>
      <xdr:row>8</xdr:row>
      <xdr:rowOff>4762</xdr:rowOff>
    </xdr:from>
    <xdr:to>
      <xdr:col>7</xdr:col>
      <xdr:colOff>920750</xdr:colOff>
      <xdr:row>20</xdr:row>
      <xdr:rowOff>0</xdr:rowOff>
    </xdr:to>
    <xdr:graphicFrame macro="">
      <xdr:nvGraphicFramePr>
        <xdr:cNvPr id="2" name="Chart 1">
          <a:extLst>
            <a:ext uri="{FF2B5EF4-FFF2-40B4-BE49-F238E27FC236}">
              <a16:creationId xmlns:a16="http://schemas.microsoft.com/office/drawing/2014/main" id="{D7182449-FFAE-896C-590C-6D1E68FF1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19242</xdr:colOff>
      <xdr:row>7</xdr:row>
      <xdr:rowOff>191846</xdr:rowOff>
    </xdr:from>
    <xdr:to>
      <xdr:col>19</xdr:col>
      <xdr:colOff>596515</xdr:colOff>
      <xdr:row>20</xdr:row>
      <xdr:rowOff>0</xdr:rowOff>
    </xdr:to>
    <xdr:graphicFrame macro="">
      <xdr:nvGraphicFramePr>
        <xdr:cNvPr id="3" name="Chart 2">
          <a:extLst>
            <a:ext uri="{FF2B5EF4-FFF2-40B4-BE49-F238E27FC236}">
              <a16:creationId xmlns:a16="http://schemas.microsoft.com/office/drawing/2014/main" id="{209DA665-B551-1F11-1C44-CDD5E5AC6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71083</xdr:colOff>
      <xdr:row>25</xdr:row>
      <xdr:rowOff>17914</xdr:rowOff>
    </xdr:from>
    <xdr:to>
      <xdr:col>7</xdr:col>
      <xdr:colOff>920750</xdr:colOff>
      <xdr:row>37</xdr:row>
      <xdr:rowOff>178846</xdr:rowOff>
    </xdr:to>
    <xdr:graphicFrame macro="">
      <xdr:nvGraphicFramePr>
        <xdr:cNvPr id="4" name="Chart 3">
          <a:extLst>
            <a:ext uri="{FF2B5EF4-FFF2-40B4-BE49-F238E27FC236}">
              <a16:creationId xmlns:a16="http://schemas.microsoft.com/office/drawing/2014/main" id="{6F1C3B8D-0EFE-EF8F-ABA0-7B8D78CC1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23518</xdr:colOff>
      <xdr:row>25</xdr:row>
      <xdr:rowOff>28433</xdr:rowOff>
    </xdr:from>
    <xdr:to>
      <xdr:col>20</xdr:col>
      <xdr:colOff>19242</xdr:colOff>
      <xdr:row>38</xdr:row>
      <xdr:rowOff>1</xdr:rowOff>
    </xdr:to>
    <xdr:graphicFrame macro="">
      <xdr:nvGraphicFramePr>
        <xdr:cNvPr id="5" name="Chart 4">
          <a:extLst>
            <a:ext uri="{FF2B5EF4-FFF2-40B4-BE49-F238E27FC236}">
              <a16:creationId xmlns:a16="http://schemas.microsoft.com/office/drawing/2014/main" id="{A618C675-0EE3-0D46-15E8-F7B9CF7DA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14216</xdr:colOff>
      <xdr:row>24</xdr:row>
      <xdr:rowOff>163772</xdr:rowOff>
    </xdr:from>
    <xdr:to>
      <xdr:col>31</xdr:col>
      <xdr:colOff>274375</xdr:colOff>
      <xdr:row>37</xdr:row>
      <xdr:rowOff>127948</xdr:rowOff>
    </xdr:to>
    <xdr:graphicFrame macro="">
      <xdr:nvGraphicFramePr>
        <xdr:cNvPr id="6" name="Chart 5">
          <a:extLst>
            <a:ext uri="{FF2B5EF4-FFF2-40B4-BE49-F238E27FC236}">
              <a16:creationId xmlns:a16="http://schemas.microsoft.com/office/drawing/2014/main" id="{FD9E8AD0-C14F-074C-A3B4-A3C229CCA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24167</xdr:colOff>
      <xdr:row>42</xdr:row>
      <xdr:rowOff>177990</xdr:rowOff>
    </xdr:from>
    <xdr:to>
      <xdr:col>8</xdr:col>
      <xdr:colOff>0</xdr:colOff>
      <xdr:row>57</xdr:row>
      <xdr:rowOff>113731</xdr:rowOff>
    </xdr:to>
    <xdr:graphicFrame macro="">
      <xdr:nvGraphicFramePr>
        <xdr:cNvPr id="7" name="Chart 6">
          <a:extLst>
            <a:ext uri="{FF2B5EF4-FFF2-40B4-BE49-F238E27FC236}">
              <a16:creationId xmlns:a16="http://schemas.microsoft.com/office/drawing/2014/main" id="{24469895-8C0C-78A1-DD2E-6E3D3A5C3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56865</xdr:colOff>
      <xdr:row>39</xdr:row>
      <xdr:rowOff>42649</xdr:rowOff>
    </xdr:from>
    <xdr:to>
      <xdr:col>11</xdr:col>
      <xdr:colOff>725037</xdr:colOff>
      <xdr:row>41</xdr:row>
      <xdr:rowOff>85298</xdr:rowOff>
    </xdr:to>
    <xdr:sp macro="" textlink="">
      <xdr:nvSpPr>
        <xdr:cNvPr id="8" name="TextBox 7">
          <a:extLst>
            <a:ext uri="{FF2B5EF4-FFF2-40B4-BE49-F238E27FC236}">
              <a16:creationId xmlns:a16="http://schemas.microsoft.com/office/drawing/2014/main" id="{2C19A90C-04B5-A9D7-EA87-71C093DC7297}"/>
            </a:ext>
          </a:extLst>
        </xdr:cNvPr>
        <xdr:cNvSpPr txBox="1"/>
      </xdr:nvSpPr>
      <xdr:spPr>
        <a:xfrm>
          <a:off x="6198358" y="6141492"/>
          <a:ext cx="3468806" cy="4975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Product Performance</a:t>
          </a:r>
        </a:p>
      </xdr:txBody>
    </xdr:sp>
    <xdr:clientData/>
  </xdr:twoCellAnchor>
  <xdr:twoCellAnchor>
    <xdr:from>
      <xdr:col>9</xdr:col>
      <xdr:colOff>511791</xdr:colOff>
      <xdr:row>21</xdr:row>
      <xdr:rowOff>71082</xdr:rowOff>
    </xdr:from>
    <xdr:to>
      <xdr:col>11</xdr:col>
      <xdr:colOff>938284</xdr:colOff>
      <xdr:row>23</xdr:row>
      <xdr:rowOff>113732</xdr:rowOff>
    </xdr:to>
    <xdr:sp macro="" textlink="">
      <xdr:nvSpPr>
        <xdr:cNvPr id="9" name="TextBox 8">
          <a:extLst>
            <a:ext uri="{FF2B5EF4-FFF2-40B4-BE49-F238E27FC236}">
              <a16:creationId xmlns:a16="http://schemas.microsoft.com/office/drawing/2014/main" id="{C9E20AA8-B920-1B99-39E6-21A8E0B374EF}"/>
            </a:ext>
          </a:extLst>
        </xdr:cNvPr>
        <xdr:cNvSpPr txBox="1"/>
      </xdr:nvSpPr>
      <xdr:spPr>
        <a:xfrm>
          <a:off x="7989627" y="2843283"/>
          <a:ext cx="3227127" cy="4122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Sales</a:t>
          </a:r>
          <a:r>
            <a:rPr lang="en-US" sz="2400" b="1" baseline="0"/>
            <a:t> by Category</a:t>
          </a:r>
          <a:endParaRPr lang="en-US" sz="2400" b="1"/>
        </a:p>
      </xdr:txBody>
    </xdr:sp>
    <xdr:clientData/>
  </xdr:twoCellAnchor>
  <xdr:twoCellAnchor>
    <xdr:from>
      <xdr:col>9</xdr:col>
      <xdr:colOff>3696</xdr:colOff>
      <xdr:row>60</xdr:row>
      <xdr:rowOff>142163</xdr:rowOff>
    </xdr:from>
    <xdr:to>
      <xdr:col>11</xdr:col>
      <xdr:colOff>796120</xdr:colOff>
      <xdr:row>63</xdr:row>
      <xdr:rowOff>0</xdr:rowOff>
    </xdr:to>
    <xdr:sp macro="" textlink="">
      <xdr:nvSpPr>
        <xdr:cNvPr id="10" name="TextBox 9">
          <a:extLst>
            <a:ext uri="{FF2B5EF4-FFF2-40B4-BE49-F238E27FC236}">
              <a16:creationId xmlns:a16="http://schemas.microsoft.com/office/drawing/2014/main" id="{985AC007-8508-4F02-9E0B-D2E56058BC3F}"/>
            </a:ext>
          </a:extLst>
        </xdr:cNvPr>
        <xdr:cNvSpPr txBox="1"/>
      </xdr:nvSpPr>
      <xdr:spPr>
        <a:xfrm>
          <a:off x="6145189" y="10207387"/>
          <a:ext cx="3593058" cy="4122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SalesPerson</a:t>
          </a:r>
          <a:r>
            <a:rPr lang="en-US" sz="2400" b="1" baseline="0"/>
            <a:t> Performance</a:t>
          </a:r>
          <a:endParaRPr lang="en-US" sz="2400" b="1"/>
        </a:p>
      </xdr:txBody>
    </xdr:sp>
    <xdr:clientData/>
  </xdr:twoCellAnchor>
  <xdr:twoCellAnchor>
    <xdr:from>
      <xdr:col>13</xdr:col>
      <xdr:colOff>24167</xdr:colOff>
      <xdr:row>43</xdr:row>
      <xdr:rowOff>21608</xdr:rowOff>
    </xdr:from>
    <xdr:to>
      <xdr:col>20</xdr:col>
      <xdr:colOff>28432</xdr:colOff>
      <xdr:row>57</xdr:row>
      <xdr:rowOff>142164</xdr:rowOff>
    </xdr:to>
    <xdr:graphicFrame macro="">
      <xdr:nvGraphicFramePr>
        <xdr:cNvPr id="12" name="Chart 11">
          <a:extLst>
            <a:ext uri="{FF2B5EF4-FFF2-40B4-BE49-F238E27FC236}">
              <a16:creationId xmlns:a16="http://schemas.microsoft.com/office/drawing/2014/main" id="{07F23AD8-4FAC-22AA-E5E7-B8901C4B6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38383</xdr:colOff>
      <xdr:row>43</xdr:row>
      <xdr:rowOff>71082</xdr:rowOff>
    </xdr:from>
    <xdr:to>
      <xdr:col>32</xdr:col>
      <xdr:colOff>28433</xdr:colOff>
      <xdr:row>57</xdr:row>
      <xdr:rowOff>163204</xdr:rowOff>
    </xdr:to>
    <xdr:graphicFrame macro="">
      <xdr:nvGraphicFramePr>
        <xdr:cNvPr id="13" name="Chart 12">
          <a:extLst>
            <a:ext uri="{FF2B5EF4-FFF2-40B4-BE49-F238E27FC236}">
              <a16:creationId xmlns:a16="http://schemas.microsoft.com/office/drawing/2014/main" id="{EB16EDF3-E380-EBC2-7AE7-71EA5BFC3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284327</xdr:colOff>
      <xdr:row>84</xdr:row>
      <xdr:rowOff>28433</xdr:rowOff>
    </xdr:from>
    <xdr:to>
      <xdr:col>11</xdr:col>
      <xdr:colOff>564960</xdr:colOff>
      <xdr:row>86</xdr:row>
      <xdr:rowOff>71083</xdr:rowOff>
    </xdr:to>
    <xdr:sp macro="" textlink="">
      <xdr:nvSpPr>
        <xdr:cNvPr id="14" name="TextBox 13">
          <a:extLst>
            <a:ext uri="{FF2B5EF4-FFF2-40B4-BE49-F238E27FC236}">
              <a16:creationId xmlns:a16="http://schemas.microsoft.com/office/drawing/2014/main" id="{1A17B7F4-F357-4E92-B92C-F300EF03D878}"/>
            </a:ext>
          </a:extLst>
        </xdr:cNvPr>
        <xdr:cNvSpPr txBox="1"/>
      </xdr:nvSpPr>
      <xdr:spPr>
        <a:xfrm>
          <a:off x="6098842" y="14529179"/>
          <a:ext cx="3692573" cy="4122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Payment Method</a:t>
          </a:r>
        </a:p>
      </xdr:txBody>
    </xdr:sp>
    <xdr:clientData/>
  </xdr:twoCellAnchor>
  <xdr:twoCellAnchor>
    <xdr:from>
      <xdr:col>3</xdr:col>
      <xdr:colOff>24166</xdr:colOff>
      <xdr:row>64</xdr:row>
      <xdr:rowOff>177988</xdr:rowOff>
    </xdr:from>
    <xdr:to>
      <xdr:col>10</xdr:col>
      <xdr:colOff>0</xdr:colOff>
      <xdr:row>80</xdr:row>
      <xdr:rowOff>156380</xdr:rowOff>
    </xdr:to>
    <xdr:graphicFrame macro="">
      <xdr:nvGraphicFramePr>
        <xdr:cNvPr id="15" name="Chart 14">
          <a:extLst>
            <a:ext uri="{FF2B5EF4-FFF2-40B4-BE49-F238E27FC236}">
              <a16:creationId xmlns:a16="http://schemas.microsoft.com/office/drawing/2014/main" id="{18002925-5545-083E-28C7-15E6F0A7B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24168</xdr:colOff>
      <xdr:row>66</xdr:row>
      <xdr:rowOff>21609</xdr:rowOff>
    </xdr:from>
    <xdr:to>
      <xdr:col>22</xdr:col>
      <xdr:colOff>317026</xdr:colOff>
      <xdr:row>80</xdr:row>
      <xdr:rowOff>177420</xdr:rowOff>
    </xdr:to>
    <xdr:graphicFrame macro="">
      <xdr:nvGraphicFramePr>
        <xdr:cNvPr id="16" name="Chart 15">
          <a:extLst>
            <a:ext uri="{FF2B5EF4-FFF2-40B4-BE49-F238E27FC236}">
              <a16:creationId xmlns:a16="http://schemas.microsoft.com/office/drawing/2014/main" id="{DA622FB5-D8B6-782D-B935-1873934ED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24168</xdr:colOff>
      <xdr:row>87</xdr:row>
      <xdr:rowOff>135341</xdr:rowOff>
    </xdr:from>
    <xdr:to>
      <xdr:col>10</xdr:col>
      <xdr:colOff>0</xdr:colOff>
      <xdr:row>102</xdr:row>
      <xdr:rowOff>106340</xdr:rowOff>
    </xdr:to>
    <xdr:graphicFrame macro="">
      <xdr:nvGraphicFramePr>
        <xdr:cNvPr id="18" name="Chart 17">
          <a:extLst>
            <a:ext uri="{FF2B5EF4-FFF2-40B4-BE49-F238E27FC236}">
              <a16:creationId xmlns:a16="http://schemas.microsoft.com/office/drawing/2014/main" id="{E0290B38-E99E-4A12-1CAA-8A44865D4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1403160</xdr:colOff>
      <xdr:row>88</xdr:row>
      <xdr:rowOff>7393</xdr:rowOff>
    </xdr:from>
    <xdr:to>
      <xdr:col>22</xdr:col>
      <xdr:colOff>274376</xdr:colOff>
      <xdr:row>102</xdr:row>
      <xdr:rowOff>163205</xdr:rowOff>
    </xdr:to>
    <xdr:graphicFrame macro="">
      <xdr:nvGraphicFramePr>
        <xdr:cNvPr id="19" name="Chart 18">
          <a:extLst>
            <a:ext uri="{FF2B5EF4-FFF2-40B4-BE49-F238E27FC236}">
              <a16:creationId xmlns:a16="http://schemas.microsoft.com/office/drawing/2014/main" id="{D5347FA2-6361-DFC1-96EA-242128877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156382</xdr:colOff>
      <xdr:row>106</xdr:row>
      <xdr:rowOff>28432</xdr:rowOff>
    </xdr:from>
    <xdr:to>
      <xdr:col>11</xdr:col>
      <xdr:colOff>824553</xdr:colOff>
      <xdr:row>108</xdr:row>
      <xdr:rowOff>71082</xdr:rowOff>
    </xdr:to>
    <xdr:sp macro="" textlink="">
      <xdr:nvSpPr>
        <xdr:cNvPr id="20" name="TextBox 19">
          <a:extLst>
            <a:ext uri="{FF2B5EF4-FFF2-40B4-BE49-F238E27FC236}">
              <a16:creationId xmlns:a16="http://schemas.microsoft.com/office/drawing/2014/main" id="{C5DC1AF6-CBBC-4373-92EE-EE956F9E08D5}"/>
            </a:ext>
          </a:extLst>
        </xdr:cNvPr>
        <xdr:cNvSpPr txBox="1"/>
      </xdr:nvSpPr>
      <xdr:spPr>
        <a:xfrm>
          <a:off x="6255225" y="18595074"/>
          <a:ext cx="4080112" cy="4122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Monthly Sales Analysis</a:t>
          </a:r>
        </a:p>
      </xdr:txBody>
    </xdr:sp>
    <xdr:clientData/>
  </xdr:twoCellAnchor>
  <xdr:twoCellAnchor>
    <xdr:from>
      <xdr:col>5</xdr:col>
      <xdr:colOff>9951</xdr:colOff>
      <xdr:row>110</xdr:row>
      <xdr:rowOff>149555</xdr:rowOff>
    </xdr:from>
    <xdr:to>
      <xdr:col>10</xdr:col>
      <xdr:colOff>914115</xdr:colOff>
      <xdr:row>125</xdr:row>
      <xdr:rowOff>120554</xdr:rowOff>
    </xdr:to>
    <xdr:graphicFrame macro="">
      <xdr:nvGraphicFramePr>
        <xdr:cNvPr id="21" name="Chart 20">
          <a:extLst>
            <a:ext uri="{FF2B5EF4-FFF2-40B4-BE49-F238E27FC236}">
              <a16:creationId xmlns:a16="http://schemas.microsoft.com/office/drawing/2014/main" id="{1D697B38-C6F9-18E9-BA6D-E1D919777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10</xdr:col>
      <xdr:colOff>133884</xdr:colOff>
      <xdr:row>0</xdr:row>
      <xdr:rowOff>179701</xdr:rowOff>
    </xdr:from>
    <xdr:to>
      <xdr:col>12</xdr:col>
      <xdr:colOff>192374</xdr:colOff>
      <xdr:row>6</xdr:row>
      <xdr:rowOff>166905</xdr:rowOff>
    </xdr:to>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B81E7FCE-70E9-4E89-C043-29B0C0E2592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505994" y="179701"/>
              <a:ext cx="2369849" cy="1100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9951</xdr:colOff>
      <xdr:row>110</xdr:row>
      <xdr:rowOff>7393</xdr:rowOff>
    </xdr:from>
    <xdr:to>
      <xdr:col>22</xdr:col>
      <xdr:colOff>302809</xdr:colOff>
      <xdr:row>124</xdr:row>
      <xdr:rowOff>163205</xdr:rowOff>
    </xdr:to>
    <xdr:graphicFrame macro="">
      <xdr:nvGraphicFramePr>
        <xdr:cNvPr id="11" name="Chart 10">
          <a:extLst>
            <a:ext uri="{FF2B5EF4-FFF2-40B4-BE49-F238E27FC236}">
              <a16:creationId xmlns:a16="http://schemas.microsoft.com/office/drawing/2014/main" id="{2756C3EC-E0DF-4A0D-C993-4BE1ED06E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46527778" backgroundQuery="1" createdVersion="8" refreshedVersion="8" minRefreshableVersion="3" recordCount="0" supportSubquery="1" supportAdvancedDrill="1" xr:uid="{CA9797D3-9790-483F-A179-AACC45AC0D14}">
  <cacheSource type="external" connectionId="1"/>
  <cacheFields count="2">
    <cacheField name="[Measures].[Sum of Quantity Sold]" caption="Sum of Quantity Sold" numFmtId="0" hierarchy="28"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47106479" backgroundQuery="1" createdVersion="8" refreshedVersion="8" minRefreshableVersion="3" recordCount="0" supportSubquery="1" supportAdvancedDrill="1" xr:uid="{12F5AEFA-CD39-4EBC-82CE-EFA98E266452}">
  <cacheSource type="external" connectionId="1"/>
  <cacheFields count="2">
    <cacheField name="[Table1].[City].[City]" caption="City" numFmtId="0" hierarchy="6" level="1">
      <sharedItems count="7">
        <s v="Abuja"/>
        <s v="Enugu"/>
        <s v="Ibadan"/>
        <s v="Kaduna"/>
        <s v="Kano"/>
        <s v="Lagos"/>
        <s v="Port Harcourt"/>
      </sharedItems>
    </cacheField>
    <cacheField name="[Measures].[Sum of Revenue]" caption="Sum of Revenue" numFmtId="0" hierarchy="26" level="32767"/>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47685187" backgroundQuery="1" createdVersion="8" refreshedVersion="8" minRefreshableVersion="3" recordCount="0" supportSubquery="1" supportAdvancedDrill="1" xr:uid="{46AEE439-2BC3-418D-A7DA-7B513898A142}">
  <cacheSource type="external" connectionId="1"/>
  <cacheFields count="4">
    <cacheField name="[Table1].[Product].[Product]" caption="Product" numFmtId="0" hierarchy="7" level="1">
      <sharedItems count="8">
        <s v="Desk"/>
        <s v="Headset"/>
        <s v="Keyboard"/>
        <s v="Laptop"/>
        <s v="Monitor"/>
        <s v="Mouse"/>
        <s v="Office Chair"/>
        <s v="Printer"/>
      </sharedItems>
    </cacheField>
    <cacheField name="[Table1].[Salesperson].[Salesperson]" caption="Salesperson" numFmtId="0" hierarchy="4" level="1">
      <sharedItems count="10">
        <s v="Ada"/>
        <s v="Ade"/>
        <s v="Chioma"/>
        <s v="Emeka"/>
        <s v="Fatima"/>
        <s v="Kunle"/>
        <s v="Musa"/>
        <s v="Seyi"/>
        <s v="Tolu"/>
        <s v="Zainab"/>
      </sharedItems>
    </cacheField>
    <cacheField name="[Measures].[Sum of Profit]" caption="Sum of Profit" numFmtId="0" hierarchy="27"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1"/>
      </fieldsUsage>
    </cacheHierarchy>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48263887" backgroundQuery="1" createdVersion="8" refreshedVersion="8" minRefreshableVersion="3" recordCount="0" supportSubquery="1" supportAdvancedDrill="1" xr:uid="{CC69B2CA-9D92-420B-8CE1-D259E06E9F60}">
  <cacheSource type="external" connectionId="1"/>
  <cacheFields count="4">
    <cacheField name="[Table1].[Product].[Product]" caption="Product" numFmtId="0" hierarchy="7" level="1">
      <sharedItems count="8">
        <s v="Desk"/>
        <s v="Headset"/>
        <s v="Keyboard"/>
        <s v="Laptop"/>
        <s v="Monitor"/>
        <s v="Mouse"/>
        <s v="Office Chair"/>
        <s v="Printer"/>
      </sharedItems>
    </cacheField>
    <cacheField name="[Table1].[Payment Method].[Payment Method]" caption="Payment Method" numFmtId="0" hierarchy="19" level="1">
      <sharedItems count="3">
        <s v="Card"/>
        <s v="Cash"/>
        <s v="Transfer"/>
      </sharedItems>
    </cacheField>
    <cacheField name="[Measures].[Count of Revenue]" caption="Count of Revenue" numFmtId="0" hierarchy="29"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48958334" backgroundQuery="1" createdVersion="8" refreshedVersion="8" minRefreshableVersion="3" recordCount="0" supportSubquery="1" supportAdvancedDrill="1" xr:uid="{A169C222-6708-4FEE-8F48-3C4B23BA4224}">
  <cacheSource type="external" connectionId="1"/>
  <cacheFields count="4">
    <cacheField name="[Table1].[Product].[Product]" caption="Product" numFmtId="0" hierarchy="7" level="1">
      <sharedItems count="8">
        <s v="Desk"/>
        <s v="Headset"/>
        <s v="Keyboard"/>
        <s v="Laptop"/>
        <s v="Monitor"/>
        <s v="Mouse"/>
        <s v="Office Chair"/>
        <s v="Printer"/>
      </sharedItems>
    </cacheField>
    <cacheField name="[Table1].[Payment Method].[Payment Method]" caption="Payment Method" numFmtId="0" hierarchy="19" level="1">
      <sharedItems count="3">
        <s v="Card"/>
        <s v="Cash"/>
        <s v="Transfer"/>
      </sharedItems>
    </cacheField>
    <cacheField name="[Measures].[Sum of Revenue]" caption="Sum of Revenue" numFmtId="0" hierarchy="26"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49768519" backgroundQuery="1" createdVersion="8" refreshedVersion="8" minRefreshableVersion="3" recordCount="0" supportSubquery="1" supportAdvancedDrill="1" xr:uid="{4AD72DB3-3CB1-4083-AD78-2187CF015541}">
  <cacheSource type="external" connectionId="1"/>
  <cacheFields count="7">
    <cacheField name="[Measures].[Sum of Revenue]" caption="Sum of Revenue" numFmtId="0" hierarchy="26" level="32767"/>
    <cacheField name="[Table1].[Product].[Product]" caption="Product" numFmtId="0" hierarchy="7" level="1">
      <sharedItems count="8">
        <s v="Desk"/>
        <s v="Headset"/>
        <s v="Keyboard"/>
        <s v="Laptop"/>
        <s v="Monitor"/>
        <s v="Mouse"/>
        <s v="Office Chair"/>
        <s v="Printer"/>
      </sharedItems>
    </cacheField>
    <cacheField name="[Table1].[Salesperson].[Salesperson]" caption="Salesperson" numFmtId="0" hierarchy="4" level="1">
      <sharedItems count="10">
        <s v="Ada"/>
        <s v="Ade"/>
        <s v="Chioma"/>
        <s v="Emeka"/>
        <s v="Fatima"/>
        <s v="Kunle"/>
        <s v="Musa"/>
        <s v="Seyi"/>
        <s v="Tolu"/>
        <s v="Zainab"/>
      </sharedItems>
    </cacheField>
    <cacheField name="[Table1].[Order Date (Month)].[Order Date (Month)]" caption="Order Date (Month)" numFmtId="0" hierarchy="22" level="1">
      <sharedItems count="5">
        <s v="Jan"/>
        <s v="Feb"/>
        <s v="Mar"/>
        <s v="Apr"/>
        <s v="May"/>
      </sharedItems>
    </cacheField>
    <cacheField name="[Measures].[Sum of Profit]" caption="Sum of Profit" numFmtId="0" hierarchy="27" level="32767"/>
    <cacheField name="[Measures].[Count of Order ID]" caption="Count of Order ID" numFmtId="0" hierarchy="30"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2"/>
      </fieldsUsage>
    </cacheHierarchy>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6"/>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3"/>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oneField="1" hidden="1">
      <fieldsUsage count="1">
        <fieldUsage x="5"/>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0347219" backgroundQuery="1" createdVersion="8" refreshedVersion="8" minRefreshableVersion="3" recordCount="0" supportSubquery="1" supportAdvancedDrill="1" xr:uid="{E333B5A7-0826-4C35-8DFD-8DF7F3E7DEFE}">
  <cacheSource type="external" connectionId="1"/>
  <cacheFields count="2">
    <cacheField name="[Measures].[Sum of Revenue]" caption="Sum of Revenue" numFmtId="0" hierarchy="26"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0810188" backgroundQuery="1" createdVersion="8" refreshedVersion="8" minRefreshableVersion="3" recordCount="0" supportSubquery="1" supportAdvancedDrill="1" xr:uid="{064E0AD8-D52D-418E-A62B-023B04A3F49A}">
  <cacheSource type="external" connectionId="1"/>
  <cacheFields count="2">
    <cacheField name="[Measures].[Sum of Profit]" caption="Sum of Profit" numFmtId="0" hierarchy="27"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1041666" backgroundQuery="1" createdVersion="8" refreshedVersion="8" minRefreshableVersion="3" recordCount="0" supportSubquery="1" supportAdvancedDrill="1" xr:uid="{3002496F-4D8F-467F-AFB7-E458A787CF9F}">
  <cacheSource type="external" connectionId="1"/>
  <cacheFields count="2">
    <cacheField name="[Measures].[Count of Order ID]" caption="Count of Order ID" numFmtId="0" hierarchy="30"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1736112" backgroundQuery="1" createdVersion="8" refreshedVersion="8" minRefreshableVersion="3" recordCount="0" supportSubquery="1" supportAdvancedDrill="1" xr:uid="{77275A12-ED8C-474C-AB23-6B71D6A537C6}">
  <cacheSource type="external" connectionId="1"/>
  <cacheFields count="2">
    <cacheField name="[Table1].[City].[City]" caption="City" numFmtId="0" hierarchy="6" level="1">
      <sharedItems count="7">
        <s v="Abuja"/>
        <s v="Enugu"/>
        <s v="Ibadan"/>
        <s v="Kaduna"/>
        <s v="Kano"/>
        <s v="Lagos"/>
        <s v="Port Harcourt"/>
      </sharedItems>
    </cacheField>
    <cacheField name="[Measures].[Sum of Profit]" caption="Sum of Profit" numFmtId="0" hierarchy="27" level="32767"/>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2314813" backgroundQuery="1" createdVersion="8" refreshedVersion="8" minRefreshableVersion="3" recordCount="0" supportSubquery="1" supportAdvancedDrill="1" xr:uid="{1A92064A-4C9E-4490-AF6D-CE6A7B4D3C26}">
  <cacheSource type="external" connectionId="1"/>
  <cacheFields count="3">
    <cacheField name="[Measures].[Sum of Revenue]" caption="Sum of Revenue" numFmtId="0" hierarchy="26" level="32767"/>
    <cacheField name="[Table1].[Category].[Category]" caption="Category" numFmtId="0" hierarchy="8" level="1">
      <sharedItems count="3">
        <s v="Accessories"/>
        <s v="Electronics"/>
        <s v="Furniture"/>
      </sharedItems>
    </cacheField>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3472221" backgroundQuery="1" createdVersion="8" refreshedVersion="8" minRefreshableVersion="3" recordCount="0" supportSubquery="1" supportAdvancedDrill="1" xr:uid="{4174EB22-3354-4F69-9028-E9708B368580}">
  <cacheSource type="external" connectionId="1"/>
  <cacheFields count="3">
    <cacheField name="[Table1].[Category].[Category]" caption="Category" numFmtId="0" hierarchy="8" level="1">
      <sharedItems count="3">
        <s v="Accessories"/>
        <s v="Electronics"/>
        <s v="Furniture"/>
      </sharedItems>
    </cacheField>
    <cacheField name="[Measures].[Sum of Profit]" caption="Sum of Profit" numFmtId="0" hierarchy="27"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4166668" backgroundQuery="1" createdVersion="8" refreshedVersion="8" minRefreshableVersion="3" recordCount="0" supportSubquery="1" supportAdvancedDrill="1" xr:uid="{9E6896A5-AC30-48E3-B960-D80D290FB869}">
  <cacheSource type="external" connectionId="1"/>
  <cacheFields count="3">
    <cacheField name="[Table1].[Category].[Category]" caption="Category" numFmtId="0" hierarchy="8" level="1">
      <sharedItems count="3">
        <s v="Accessories"/>
        <s v="Electronics"/>
        <s v="Furniture"/>
      </sharedItems>
    </cacheField>
    <cacheField name="[Measures].[Sum of Quantity Sold]" caption="Sum of Quantity Sold" numFmtId="0" hierarchy="28"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5787038" backgroundQuery="1" createdVersion="8" refreshedVersion="8" minRefreshableVersion="3" recordCount="0" supportSubquery="1" supportAdvancedDrill="1" xr:uid="{42CFA9C6-745F-4E0B-885B-C6E13097F585}">
  <cacheSource type="external" connectionId="1"/>
  <cacheFields count="3">
    <cacheField name="[Measures].[Sum of Revenue]" caption="Sum of Revenue" numFmtId="0" hierarchy="26" level="32767"/>
    <cacheField name="[Table1].[Product].[Product]" caption="Product" numFmtId="0" hierarchy="7" level="1">
      <sharedItems count="5">
        <s v="Desk"/>
        <s v="Laptop"/>
        <s v="Monitor"/>
        <s v="Office Chair"/>
        <s v="Printer"/>
      </sharedItems>
    </cacheField>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6481485" backgroundQuery="1" createdVersion="8" refreshedVersion="8" minRefreshableVersion="3" recordCount="0" supportSubquery="1" supportAdvancedDrill="1" xr:uid="{1E5DCF0E-EDA8-4904-97C3-52870E9247C0}">
  <cacheSource type="external" connectionId="1"/>
  <cacheFields count="3">
    <cacheField name="[Table1].[Product].[Product]" caption="Product" numFmtId="0" hierarchy="7" level="1">
      <sharedItems count="8">
        <s v="Desk"/>
        <s v="Headset"/>
        <s v="Keyboard"/>
        <s v="Laptop"/>
        <s v="Monitor"/>
        <s v="Mouse"/>
        <s v="Office Chair"/>
        <s v="Printer"/>
      </sharedItems>
    </cacheField>
    <cacheField name="[Measures].[Sum of Profit]" caption="Sum of Profit" numFmtId="0" hierarchy="27"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7060185" backgroundQuery="1" createdVersion="8" refreshedVersion="8" minRefreshableVersion="3" recordCount="0" supportSubquery="1" supportAdvancedDrill="1" xr:uid="{230A5462-147B-4BFB-905F-A63A54EC6D50}">
  <cacheSource type="external" connectionId="1"/>
  <cacheFields count="3">
    <cacheField name="[Table1].[Product].[Product]" caption="Product" numFmtId="0" hierarchy="7" level="1">
      <sharedItems count="8">
        <s v="Desk"/>
        <s v="Headset"/>
        <s v="Keyboard"/>
        <s v="Laptop"/>
        <s v="Monitor"/>
        <s v="Mouse"/>
        <s v="Office Chair"/>
        <s v="Printer"/>
      </sharedItems>
    </cacheField>
    <cacheField name="[Measures].[Sum of Quantity Sold]" caption="Sum of Quantity Sold" numFmtId="0" hierarchy="28" level="32767"/>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7638886" backgroundQuery="1" createdVersion="8" refreshedVersion="8" minRefreshableVersion="3" recordCount="0" supportSubquery="1" supportAdvancedDrill="1" xr:uid="{3D4195F4-F0D5-4432-B18A-B6D5984F12E9}">
  <cacheSource type="external" connectionId="1"/>
  <cacheFields count="4">
    <cacheField name="[Measures].[Sum of Revenue]" caption="Sum of Revenue" numFmtId="0" hierarchy="26" level="32767"/>
    <cacheField name="[Table1].[Product].[Product]" caption="Product" numFmtId="0" hierarchy="7" level="1">
      <sharedItems count="8">
        <s v="Desk"/>
        <s v="Headset"/>
        <s v="Keyboard"/>
        <s v="Laptop"/>
        <s v="Monitor"/>
        <s v="Mouse"/>
        <s v="Office Chair"/>
        <s v="Printer"/>
      </sharedItems>
    </cacheField>
    <cacheField name="[Table1].[Salesperson].[Salesperson]" caption="Salesperson" numFmtId="0" hierarchy="4" level="1">
      <sharedItems count="10">
        <s v="Ada"/>
        <s v="Ade"/>
        <s v="Chioma"/>
        <s v="Emeka"/>
        <s v="Fatima"/>
        <s v="Kunle"/>
        <s v="Musa"/>
        <s v="Seyi"/>
        <s v="Tolu"/>
        <s v="Zainab"/>
      </sharedItems>
    </cacheField>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2"/>
      </fieldsUsage>
    </cacheHierarchy>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83258564817" backgroundQuery="1" createdVersion="8" refreshedVersion="8" minRefreshableVersion="3" recordCount="0" supportSubquery="1" supportAdvancedDrill="1" xr:uid="{D848A8D2-AA5B-4771-BEBB-EB7D6FF6A538}">
  <cacheSource type="external" connectionId="1"/>
  <cacheFields count="5">
    <cacheField name="[Measures].[Sum of Revenue]" caption="Sum of Revenue" numFmtId="0" hierarchy="26" level="32767"/>
    <cacheField name="[Table1].[Product].[Product]" caption="Product" numFmtId="0" hierarchy="7" level="1">
      <sharedItems count="8">
        <s v="Desk"/>
        <s v="Headset"/>
        <s v="Keyboard"/>
        <s v="Laptop"/>
        <s v="Monitor"/>
        <s v="Mouse"/>
        <s v="Office Chair"/>
        <s v="Printer"/>
      </sharedItems>
    </cacheField>
    <cacheField name="[Table1].[Salesperson].[Salesperson]" caption="Salesperson" numFmtId="0" hierarchy="4" level="1">
      <sharedItems count="10">
        <s v="Ada"/>
        <s v="Ade"/>
        <s v="Chioma"/>
        <s v="Emeka"/>
        <s v="Fatima"/>
        <s v="Kunle"/>
        <s v="Musa"/>
        <s v="Seyi"/>
        <s v="Tolu"/>
        <s v="Zainab"/>
      </sharedItems>
    </cacheField>
    <cacheField name="[Table1].[Order Date (Month)].[Order Date (Month)]" caption="Order Date (Month)" numFmtId="0" hierarchy="22" level="1">
      <sharedItems count="5">
        <s v="Jan"/>
        <s v="Feb"/>
        <s v="Mar"/>
        <s v="Apr"/>
        <s v="May"/>
      </sharedItems>
    </cacheField>
    <cacheField name="[Table1].[City].[City]" caption="City" numFmtId="0" hierarchy="6" level="1">
      <sharedItems containsSemiMixedTypes="0" containsNonDate="0" containsString="0"/>
    </cacheField>
  </cacheFields>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2"/>
      </fieldsUsage>
    </cacheHierarchy>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4"/>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3"/>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984289351851" backgroundQuery="1" createdVersion="3" refreshedVersion="8" minRefreshableVersion="3" recordCount="0" supportSubquery="1" supportAdvancedDrill="1" xr:uid="{87710CC5-A7BA-40A3-84F3-610B5E873080}">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Date Valid]" caption="Date Valid" attribute="1" defaultMemberUniqueName="[Table1].[Date Valid].[All]" allUniqueName="[Table1].[Date Val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wn]" caption="Town" attribute="1" defaultMemberUniqueName="[Table1].[Town].[All]" allUniqueName="[Table1].[Town].[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Unit Cost]" caption="Unit Cost" attribute="1" defaultMemberUniqueName="[Table1].[Unit Cost].[All]" allUniqueName="[Table1].[Uni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Value Category]" caption="Order Value Category" attribute="1" defaultMemberUniqueName="[Table1].[Order Value Category].[All]" allUniqueName="[Table1].[Order Value Category].[All]" dimensionUniqueName="[Table1]" displayFolder="" count="0" memberValueDatatype="130" unbalanced="0"/>
    <cacheHierarchy uniqueName="[Table1].[Profit Status]" caption="Profit Status" attribute="1" defaultMemberUniqueName="[Table1].[Profit Status].[All]" allUniqueName="[Table1].[Profit Status].[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324320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ED6F8A-0679-4A38-BE00-C6171E9CA8AB}" name="PivotTable1" cacheId="24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rowHeaderCaption="City">
  <location ref="A9:B16"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3"/>
    </i>
    <i>
      <x v="4"/>
    </i>
    <i>
      <x v="1"/>
    </i>
    <i>
      <x v="2"/>
    </i>
    <i>
      <x v="6"/>
    </i>
    <i>
      <x/>
    </i>
    <i>
      <x v="5"/>
    </i>
  </rowItems>
  <colItems count="1">
    <i/>
  </colItems>
  <dataFields count="1">
    <dataField name="Sum of Revenue" fld="1" baseField="0" baseItem="0" numFmtId="165"/>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EC0FA0-A9EE-4821-834D-2BA61B1F6D78}" name="PivotTable6" cacheId="27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0" rowHeaderCaption="Product">
  <location ref="A44:B49"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4"/>
    </i>
    <i>
      <x/>
    </i>
    <i>
      <x v="3"/>
    </i>
    <i>
      <x v="2"/>
    </i>
    <i>
      <x v="1"/>
    </i>
  </rowItems>
  <colItems count="1">
    <i/>
  </colItems>
  <dataFields count="1">
    <dataField name="Sum of Revenue" fld="0" baseField="0" baseItem="0" numFmtId="165"/>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31735E-0D8D-4899-B727-84B0AADAA386}" name="PivotTable14" cacheId="25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8" rowHeaderCaption="Month">
  <location ref="A112:D117" firstHeaderRow="0" firstDataRow="1" firstDataCol="1"/>
  <pivotFields count="7">
    <pivotField dataField="1" subtotalTop="0" showAll="0" defaultSubtotal="0"/>
    <pivotField allDrilled="1" subtotalTop="0" showAll="0" sortType="ascending" defaultSubtotal="0" defaultAttributeDrillState="1">
      <items count="8">
        <item x="0"/>
        <item x="1"/>
        <item x="2"/>
        <item x="3"/>
        <item x="4"/>
        <item x="5"/>
        <item x="6"/>
        <item x="7"/>
      </items>
    </pivotField>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5">
    <i>
      <x/>
    </i>
    <i>
      <x v="1"/>
    </i>
    <i>
      <x v="2"/>
    </i>
    <i>
      <x v="3"/>
    </i>
    <i>
      <x v="4"/>
    </i>
  </rowItems>
  <colFields count="1">
    <field x="-2"/>
  </colFields>
  <colItems count="3">
    <i>
      <x/>
    </i>
    <i i="1">
      <x v="1"/>
    </i>
    <i i="2">
      <x v="2"/>
    </i>
  </colItems>
  <dataFields count="3">
    <dataField name="Sum of Revenue" fld="0" baseField="0" baseItem="0" numFmtId="165"/>
    <dataField name="Sum of Profit" fld="4" baseField="0" baseItem="0" numFmtId="165"/>
    <dataField name="Count of Order ID" fld="5" subtotal="count" baseField="0" baseItem="0"/>
  </dataField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7" format="2" series="1">
      <pivotArea type="data" outline="0" fieldPosition="0">
        <references count="1">
          <reference field="4294967294"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71DDC8-1302-4DA0-82DB-5FF52A914C39}" name="PivotTable18" cacheId="23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City">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0"/>
  </dataField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rofit"/>
    <pivotHierarchy dragToData="1" caption="Total Quantity Sold"/>
    <pivotHierarchy dragToData="1"/>
    <pivotHierarchy dragToData="1" caption="Total Sol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D76922-DBBC-428C-B1E1-BE6160CD8172}" name="PivotTable17" cacheId="261"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City">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0" subtotal="count" baseField="0" baseItem="0"/>
  </dataField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caption="Total Orde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572BF6-F583-47A2-8F29-E09E7F8C3E43}" name="PivotTable3" cacheId="26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7" rowHeaderCaption="Category">
  <location ref="A26:B2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Sum of Revenue" fld="0" baseField="0" baseItem="0" numFmtId="165"/>
  </dataField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39" format="5"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59310B-A042-49F2-8857-FD5B53EF1550}" name="PivotTable7" cacheId="27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0" rowHeaderCaption="Product">
  <location ref="K44:L52"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4"/>
    </i>
    <i>
      <x v="6"/>
    </i>
    <i>
      <x v="5"/>
    </i>
    <i>
      <x v="3"/>
    </i>
    <i>
      <x v="1"/>
    </i>
    <i>
      <x/>
    </i>
    <i>
      <x v="2"/>
    </i>
    <i>
      <x v="7"/>
    </i>
  </rowItems>
  <colItems count="1">
    <i/>
  </colItems>
  <dataFields count="1">
    <dataField name="Sum of Profit" fld="1" baseField="0" baseItem="0" numFmtId="165"/>
  </dataFields>
  <chartFormats count="1">
    <chartFormat chart="23" format="1"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6C7719-B227-4F4C-B5B6-12EAE2E68991}" name="PivotTable2" cacheId="26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rowHeaderCaption="City">
  <location ref="K9:L16"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3"/>
    </i>
    <i>
      <x v="6"/>
    </i>
    <i>
      <x v="4"/>
    </i>
    <i>
      <x v="1"/>
    </i>
    <i>
      <x/>
    </i>
    <i>
      <x v="5"/>
    </i>
  </rowItems>
  <colItems count="1">
    <i/>
  </colItems>
  <dataFields count="1">
    <dataField name="Sum of Profit" fld="1" baseField="0" baseItem="0" numFmtId="165"/>
  </dataFields>
  <chartFormats count="1">
    <chartFormat chart="4"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1FC83A-BF6E-41AA-96A3-3B801785E065}" name="PivotTable16" cacheId="25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City">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7"/>
  </dataField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8D8614-4139-4B21-9DEF-2C00E3A2071E}" name="PivotTable4" cacheId="27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7" rowHeaderCaption="Category">
  <location ref="K26:L2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Profit" fld="1" baseField="0" baseItem="0" numFmtId="166"/>
  </dataField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1"/>
          </reference>
        </references>
      </pivotArea>
    </chartFormat>
    <chartFormat chart="7" format="2">
      <pivotArea type="data" outline="0" fieldPosition="0">
        <references count="2">
          <reference field="4294967294" count="1" selected="0">
            <x v="0"/>
          </reference>
          <reference field="0" count="1" selected="0">
            <x v="2"/>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AA3637-784A-4217-9CDD-CC56F1F84A25}" name="PivotTable20" cacheId="28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0" rowHeaderCaption="Month">
  <location ref="M111:N116" firstHeaderRow="1" firstDataRow="1" firstDataCol="1"/>
  <pivotFields count="5">
    <pivotField dataField="1" subtotalTop="0" showAll="0" defaultSubtotal="0"/>
    <pivotField allDrilled="1" subtotalTop="0" showAll="0" sortType="ascending" defaultSubtotal="0" defaultAttributeDrillState="1">
      <items count="8">
        <item x="0"/>
        <item x="1"/>
        <item x="2"/>
        <item x="3"/>
        <item x="4"/>
        <item x="5"/>
        <item x="6"/>
        <item x="7"/>
      </items>
    </pivotField>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5">
    <i>
      <x/>
    </i>
    <i>
      <x v="1"/>
    </i>
    <i>
      <x v="2"/>
    </i>
    <i>
      <x v="3"/>
    </i>
    <i>
      <x v="4"/>
    </i>
  </rowItems>
  <colItems count="1">
    <i/>
  </colItems>
  <dataFields count="1">
    <dataField name="Sum of Revenue" fld="0" baseField="0" baseItem="0" numFmtId="165"/>
  </dataField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670C4D-3572-4048-9E11-36BBCBF4162A}" name="PivotTable8" cacheId="28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0" rowHeaderCaption="Product">
  <location ref="W44:X52" firstHeaderRow="1" firstDataRow="1" firstDataCol="1"/>
  <pivotFields count="3">
    <pivotField axis="axisRow" allDrilled="1" subtotalTop="0" showAll="0" sortType="ascending"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name="Sum of Quantity Sold" fld="1" baseField="0" baseItem="0"/>
  </dataFields>
  <chartFormats count="1">
    <chartFormat chart="30"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64B92B-A487-4DF6-A82E-54AC142FB7BF}" name="PivotTable10" cacheId="24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2" rowHeaderCaption="Salesperson">
  <location ref="M67:N77" firstHeaderRow="1" firstDataRow="1" firstDataCol="1"/>
  <pivotFields count="4">
    <pivotField allDrilled="1" subtotalTop="0" showAll="0" sortType="ascending" defaultSubtotal="0" defaultAttributeDrillState="1">
      <items count="8">
        <item x="0"/>
        <item x="1"/>
        <item x="2"/>
        <item x="3"/>
        <item x="4"/>
        <item x="5"/>
        <item x="6"/>
        <item x="7"/>
      </items>
    </pivotField>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v="7"/>
    </i>
    <i>
      <x v="2"/>
    </i>
    <i>
      <x v="4"/>
    </i>
    <i>
      <x/>
    </i>
    <i>
      <x v="6"/>
    </i>
    <i>
      <x v="9"/>
    </i>
    <i>
      <x v="1"/>
    </i>
    <i>
      <x v="8"/>
    </i>
    <i>
      <x v="5"/>
    </i>
    <i>
      <x v="3"/>
    </i>
  </rowItems>
  <colItems count="1">
    <i/>
  </colItems>
  <dataFields count="1">
    <dataField name="Sum of Profit" fld="2" baseField="0" baseItem="0" numFmtId="165"/>
  </dataFields>
  <chartFormats count="1">
    <chartFormat chart="37"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6BDDC4-EC3C-47CB-978B-4C9ABD198F37}" name="PivotTable11" cacheId="24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9" rowHeaderCaption="Payment Method">
  <location ref="A89:B92" firstHeaderRow="1" firstDataRow="1" firstDataCol="1"/>
  <pivotFields count="4">
    <pivotField allDrilled="1" subtotalTop="0" showAll="0" sortType="ascending" defaultSubtotal="0" defaultAttributeDrillState="1">
      <items count="8">
        <item x="0"/>
        <item x="1"/>
        <item x="2"/>
        <item x="3"/>
        <item x="4"/>
        <item x="5"/>
        <item x="6"/>
        <item x="7"/>
      </items>
    </pivotField>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Items count="1">
    <i/>
  </colItems>
  <dataFields count="1">
    <dataField name="Count of Orders" fld="2" subtotal="count" baseField="1" baseItem="0"/>
  </dataFields>
  <chartFormats count="4">
    <chartFormat chart="37"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1" count="1" selected="0">
            <x v="0"/>
          </reference>
        </references>
      </pivotArea>
    </chartFormat>
    <chartFormat chart="37" format="2">
      <pivotArea type="data" outline="0" fieldPosition="0">
        <references count="2">
          <reference field="4294967294" count="1" selected="0">
            <x v="0"/>
          </reference>
          <reference field="1" count="1" selected="0">
            <x v="1"/>
          </reference>
        </references>
      </pivotArea>
    </chartFormat>
    <chartFormat chart="37" format="3">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Orders"/>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379776-9A65-40AA-8974-8ABE5903ABFB}" name="PivotTable12" cacheId="24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7" rowHeaderCaption="Payment Method">
  <location ref="M89:N92" firstHeaderRow="1" firstDataRow="1" firstDataCol="1"/>
  <pivotFields count="4">
    <pivotField allDrilled="1" subtotalTop="0" showAll="0" sortType="ascending" defaultSubtotal="0" defaultAttributeDrillState="1">
      <items count="8">
        <item x="0"/>
        <item x="1"/>
        <item x="2"/>
        <item x="3"/>
        <item x="4"/>
        <item x="5"/>
        <item x="6"/>
        <item x="7"/>
      </items>
    </pivotField>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Items count="1">
    <i/>
  </colItems>
  <dataFields count="1">
    <dataField name="Sum of Revenue" fld="2" baseField="0" baseItem="0" numFmtId="166"/>
  </dataFields>
  <chartFormats count="8">
    <chartFormat chart="39" format="0" series="1">
      <pivotArea type="data" outline="0" fieldPosition="0">
        <references count="1">
          <reference field="4294967294" count="1" selected="0">
            <x v="0"/>
          </reference>
        </references>
      </pivotArea>
    </chartFormat>
    <chartFormat chart="39" format="1">
      <pivotArea type="data" outline="0" fieldPosition="0">
        <references count="2">
          <reference field="4294967294" count="1" selected="0">
            <x v="0"/>
          </reference>
          <reference field="1" count="1" selected="0">
            <x v="0"/>
          </reference>
        </references>
      </pivotArea>
    </chartFormat>
    <chartFormat chart="39" format="2">
      <pivotArea type="data" outline="0" fieldPosition="0">
        <references count="2">
          <reference field="4294967294" count="1" selected="0">
            <x v="0"/>
          </reference>
          <reference field="1" count="1" selected="0">
            <x v="1"/>
          </reference>
        </references>
      </pivotArea>
    </chartFormat>
    <chartFormat chart="39" format="3">
      <pivotArea type="data" outline="0" fieldPosition="0">
        <references count="2">
          <reference field="4294967294" count="1" selected="0">
            <x v="0"/>
          </reference>
          <reference field="1" count="1" selected="0">
            <x v="2"/>
          </reference>
        </references>
      </pivotArea>
    </chartFormat>
    <chartFormat chart="46" format="8" series="1">
      <pivotArea type="data" outline="0" fieldPosition="0">
        <references count="1">
          <reference field="4294967294" count="1" selected="0">
            <x v="0"/>
          </reference>
        </references>
      </pivotArea>
    </chartFormat>
    <chartFormat chart="46" format="9">
      <pivotArea type="data" outline="0" fieldPosition="0">
        <references count="2">
          <reference field="4294967294" count="1" selected="0">
            <x v="0"/>
          </reference>
          <reference field="1" count="1" selected="0">
            <x v="0"/>
          </reference>
        </references>
      </pivotArea>
    </chartFormat>
    <chartFormat chart="46" format="10">
      <pivotArea type="data" outline="0" fieldPosition="0">
        <references count="2">
          <reference field="4294967294" count="1" selected="0">
            <x v="0"/>
          </reference>
          <reference field="1" count="1" selected="0">
            <x v="1"/>
          </reference>
        </references>
      </pivotArea>
    </chartFormat>
    <chartFormat chart="46" format="11">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Orders"/>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0C7F53D-EAFB-4E00-9B75-0976CE2A19E1}" name="PivotTable9" cacheId="28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1" rowHeaderCaption="Salesperson">
  <location ref="A66:B76" firstHeaderRow="1" firstDataRow="1" firstDataCol="1"/>
  <pivotFields count="4">
    <pivotField dataField="1" subtotalTop="0" showAll="0" defaultSubtotal="0"/>
    <pivotField allDrilled="1" subtotalTop="0" showAll="0" sortType="ascending" defaultSubtotal="0" defaultAttributeDrillState="1">
      <items count="8">
        <item x="0"/>
        <item x="1"/>
        <item x="2"/>
        <item x="3"/>
        <item x="4"/>
        <item x="5"/>
        <item x="6"/>
        <item x="7"/>
      </items>
    </pivotField>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4"/>
    </i>
    <i>
      <x v="6"/>
    </i>
    <i>
      <x v="9"/>
    </i>
    <i>
      <x v="3"/>
    </i>
    <i>
      <x v="1"/>
    </i>
    <i>
      <x v="7"/>
    </i>
    <i>
      <x v="5"/>
    </i>
    <i>
      <x v="2"/>
    </i>
    <i>
      <x/>
    </i>
    <i>
      <x v="8"/>
    </i>
  </rowItems>
  <colItems count="1">
    <i/>
  </colItems>
  <dataFields count="1">
    <dataField name="Sum of Revenue" fld="0" baseField="0" baseItem="0" numFmtId="165"/>
  </dataField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4565B7-8FCA-430B-BDBA-84D97EC03430}" name="PivotTable15" cacheId="255"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City">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7"/>
  </dataField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4A70CF0-D113-479A-96C7-6203F194FFDC}" name="PivotTable5" cacheId="27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4" rowHeaderCaption="Category">
  <location ref="W26:X2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Quantity Sold" fld="1" baseField="0" baseItem="0"/>
  </dataFields>
  <chartFormats count="4">
    <chartFormat chart="37"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0" count="1" selected="0">
            <x v="0"/>
          </reference>
        </references>
      </pivotArea>
    </chartFormat>
    <chartFormat chart="37" format="2">
      <pivotArea type="data" outline="0" fieldPosition="0">
        <references count="2">
          <reference field="4294967294" count="1" selected="0">
            <x v="0"/>
          </reference>
          <reference field="0" count="1" selected="0">
            <x v="1"/>
          </reference>
        </references>
      </pivotArea>
    </chartFormat>
    <chartFormat chart="37" format="3">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MS Sales-Data TWP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993658E-8769-4690-A2F2-C7C6BEAACD21}" sourceName="[Table1].[City]">
  <pivotTables>
    <pivotTable tabId="4" name="PivotTable18"/>
    <pivotTable tabId="4" name="PivotTable1"/>
    <pivotTable tabId="4" name="PivotTable10"/>
    <pivotTable tabId="4" name="PivotTable11"/>
    <pivotTable tabId="4" name="PivotTable12"/>
    <pivotTable tabId="4" name="PivotTable14"/>
    <pivotTable tabId="4" name="PivotTable15"/>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20"/>
  </pivotTables>
  <data>
    <olap pivotCacheId="132432061">
      <levels count="2">
        <level uniqueName="[Table1].[City].[(All)]" sourceCaption="(All)" count="0"/>
        <level uniqueName="[Table1].[City].[City]" sourceCaption="City" count="7">
          <ranges>
            <range startItem="0">
              <i n="[Table1].[City].&amp;[Abuja]" c="Abuja"/>
              <i n="[Table1].[City].&amp;[Enugu]" c="Enugu"/>
              <i n="[Table1].[City].&amp;[Ibadan]" c="Ibadan"/>
              <i n="[Table1].[City].&amp;[Kaduna]" c="Kaduna"/>
              <i n="[Table1].[City].&amp;[Kano]" c="Kano"/>
              <i n="[Table1].[City].&amp;[Lagos]" c="Lagos"/>
              <i n="[Table1].[City].&amp;[Port Harcourt]" c="Port Harcourt"/>
            </range>
          </ranges>
        </level>
      </levels>
      <selections count="1">
        <selection n="[Table1].[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A8163CE-CBB5-43EF-901B-3C9C728E2040}" cache="Slicer_City" caption="City" startItem="4" columnCount="2"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65643A9-5A31-43BD-8F66-E01A88DA9BCE}" cache="Slicer_City" caption="City" columnCount="2"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3D0A15-14DC-4A9E-B2A2-7CA44DBAA441}" name="Table1" displayName="Table1" ref="A1:V50" totalsRowShown="0" headerRowDxfId="28" dataDxfId="27">
  <autoFilter ref="A1:V50" xr:uid="{383D0A15-14DC-4A9E-B2A2-7CA44DBAA441}"/>
  <tableColumns count="22">
    <tableColumn id="1" xr3:uid="{18955134-F9FC-4402-B8AD-1B05F677F45E}" name="Order ID" dataDxfId="26"/>
    <tableColumn id="2" xr3:uid="{756432E6-652D-4EE2-83BA-88B62DBCB280}" name="Order Date" dataDxfId="25"/>
    <tableColumn id="3" xr3:uid="{2908F8BE-D34E-4AAE-9691-46820DFBD92A}" name="Ship Date" dataDxfId="24"/>
    <tableColumn id="13" xr3:uid="{FEA0DD48-0430-4A08-9BBF-FE41D46E74E7}" name="Date Valid" dataDxfId="23">
      <calculatedColumnFormula>IF(Table1[[#This Row],[Ship Date]]&gt;=Table1[[#This Row],[Order Date]],"Valid","Invalid ship date")</calculatedColumnFormula>
    </tableColumn>
    <tableColumn id="4" xr3:uid="{4D8CAA18-FD4C-4080-BF8F-4331ABF1D778}" name="Salesperson" dataDxfId="22"/>
    <tableColumn id="5" xr3:uid="{D12F74B5-437C-4CAD-9B40-E17C79BF3037}" name="Town" dataDxfId="21"/>
    <tableColumn id="6" xr3:uid="{C2FABF7E-A18B-40B8-9A80-9CC8CA2E49FD}" name="City" dataDxfId="20"/>
    <tableColumn id="7" xr3:uid="{45FBA36D-B6D2-4F39-9C13-9493E9B46CB0}" name="Product" dataDxfId="19"/>
    <tableColumn id="8" xr3:uid="{B0B72A9D-5A07-44F5-A3FB-ADB4699AE7B7}" name="Category" dataDxfId="18"/>
    <tableColumn id="9" xr3:uid="{15B0712E-E183-4439-89F2-2610686788D3}" name="Quantity Sold " dataDxfId="17"/>
    <tableColumn id="10" xr3:uid="{B0B818BE-BC73-4002-B151-F7ADCEF67184}" name="Unit Price" dataDxfId="16"/>
    <tableColumn id="16" xr3:uid="{24726BE5-EE51-4476-A30D-6E0B65DA77C2}" name="Gross Sales" dataDxfId="15">
      <calculatedColumnFormula>Table1[[#This Row],[Quantity Sold ]]*Table1[[#This Row],[Unit Price]]</calculatedColumnFormula>
    </tableColumn>
    <tableColumn id="12" xr3:uid="{8502E654-472F-4635-BCB3-F1BDC34D21FB}" name="Discount %" dataDxfId="14"/>
    <tableColumn id="17" xr3:uid="{2B99F789-3B9B-400F-AE2B-7FB776C8ED9B}" name="Discount Amount" dataDxfId="13">
      <calculatedColumnFormula>Table1[[#This Row],[Gross Sales]]*Table1[[#This Row],[Discount %]]</calculatedColumnFormula>
    </tableColumn>
    <tableColumn id="18" xr3:uid="{FD4FFD84-3B96-489A-94E7-00140B0077B6}" name="Revenue" dataDxfId="12">
      <calculatedColumnFormula>Table1[[#This Row],[Gross Sales]]-Table1[[#This Row],[Discount Amount]]</calculatedColumnFormula>
    </tableColumn>
    <tableColumn id="11" xr3:uid="{719C657F-86A9-467B-A2A4-C9E7372C1199}" name="Unit Cost" dataDxfId="11" dataCellStyle="Percent"/>
    <tableColumn id="19" xr3:uid="{FBFB44C4-FF5B-402A-8999-95DE2FFCBD24}" name="Total Cost" dataDxfId="10">
      <calculatedColumnFormula>Table1[[#This Row],[Quantity Sold ]]*Table1[[#This Row],[Unit Cost]]</calculatedColumnFormula>
    </tableColumn>
    <tableColumn id="20" xr3:uid="{6358FE85-75CC-40E0-A00B-8DFFC580BAF1}" name="Profit" dataDxfId="9">
      <calculatedColumnFormula>Table1[[#This Row],[Revenue]]-Table1[[#This Row],[Total Cost]]</calculatedColumnFormula>
    </tableColumn>
    <tableColumn id="14" xr3:uid="{365CF431-B425-4ED5-8421-E8D6C8A0F52C}" name="Customer Type" dataDxfId="8"/>
    <tableColumn id="15" xr3:uid="{F87E4310-9181-4A35-ABB7-689AF7FDA1A3}" name="Payment Method" dataDxfId="7"/>
    <tableColumn id="22" xr3:uid="{42DE5724-3AF7-4F11-A9B6-234D374DDA23}" name="Order Value Category" dataDxfId="6">
      <calculatedColumnFormula>IF(Table1[[#This Row],[Revenue]]&gt;=1000000,"High Value","Standard")</calculatedColumnFormula>
    </tableColumn>
    <tableColumn id="23" xr3:uid="{70AB9797-28DE-4313-B122-00B8F32E53D8}" name="Profit Status" dataDxfId="5">
      <calculatedColumnFormula>IF(Table1[[#This Row],[Profit]]&gt;=250000,"High Profit","Standard Profit")</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C950-CA3B-4BCC-9296-CBBC74F75ACD}">
  <dimension ref="R11"/>
  <sheetViews>
    <sheetView showGridLines="0" zoomScale="74" workbookViewId="0">
      <selection activeCell="C1" sqref="C1"/>
    </sheetView>
  </sheetViews>
  <sheetFormatPr defaultRowHeight="15" x14ac:dyDescent="0.25"/>
  <sheetData>
    <row r="11" spans="18:18" ht="24.75" x14ac:dyDescent="0.5">
      <c r="R11"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91DEF-E82D-4E77-8E24-9A2E6BB07CC7}">
  <dimension ref="A3:X117"/>
  <sheetViews>
    <sheetView zoomScale="60" workbookViewId="0">
      <selection activeCell="O5" sqref="O5"/>
    </sheetView>
  </sheetViews>
  <sheetFormatPr defaultRowHeight="15" x14ac:dyDescent="0.25"/>
  <cols>
    <col min="1" max="1" width="15" bestFit="1" customWidth="1"/>
    <col min="2" max="2" width="15.85546875" bestFit="1" customWidth="1"/>
    <col min="3" max="3" width="12.7109375" bestFit="1" customWidth="1"/>
    <col min="4" max="4" width="17" bestFit="1" customWidth="1"/>
    <col min="5" max="5" width="22.5703125" bestFit="1" customWidth="1"/>
    <col min="7" max="7" width="27" bestFit="1" customWidth="1"/>
    <col min="8" max="8" width="14" customWidth="1"/>
    <col min="9" max="9" width="18.42578125" bestFit="1" customWidth="1"/>
    <col min="10" max="10" width="12.28515625" bestFit="1" customWidth="1"/>
    <col min="11" max="11" width="15.5703125" bestFit="1" customWidth="1"/>
    <col min="12" max="12" width="18.7109375" bestFit="1" customWidth="1"/>
    <col min="13" max="13" width="23" bestFit="1" customWidth="1"/>
    <col min="14" max="14" width="15.85546875" bestFit="1" customWidth="1"/>
    <col min="15" max="15" width="22.5703125" bestFit="1" customWidth="1"/>
    <col min="23" max="23" width="11.28515625" bestFit="1" customWidth="1"/>
    <col min="24" max="24" width="20.140625" bestFit="1" customWidth="1"/>
    <col min="25" max="25" width="27" bestFit="1" customWidth="1"/>
  </cols>
  <sheetData>
    <row r="3" spans="1:12" x14ac:dyDescent="0.25">
      <c r="A3" t="s">
        <v>107</v>
      </c>
      <c r="C3" t="s">
        <v>123</v>
      </c>
      <c r="E3" t="s">
        <v>144</v>
      </c>
      <c r="G3" t="s">
        <v>126</v>
      </c>
      <c r="I3" s="32" t="s">
        <v>146</v>
      </c>
    </row>
    <row r="4" spans="1:12" x14ac:dyDescent="0.25">
      <c r="A4" s="28">
        <v>43251900</v>
      </c>
      <c r="C4" s="28">
        <v>9367900</v>
      </c>
      <c r="E4" s="31">
        <v>49</v>
      </c>
      <c r="G4" s="31">
        <v>591</v>
      </c>
      <c r="I4" s="29">
        <f>C4/A4</f>
        <v>0.21658932902369607</v>
      </c>
      <c r="J4" s="30"/>
    </row>
    <row r="9" spans="1:12" x14ac:dyDescent="0.25">
      <c r="A9" s="19" t="s">
        <v>88</v>
      </c>
      <c r="B9" t="s">
        <v>134</v>
      </c>
      <c r="K9" s="19" t="s">
        <v>88</v>
      </c>
      <c r="L9" t="s">
        <v>135</v>
      </c>
    </row>
    <row r="10" spans="1:12" x14ac:dyDescent="0.25">
      <c r="A10" s="20" t="s">
        <v>41</v>
      </c>
      <c r="B10" s="21">
        <v>2685200</v>
      </c>
      <c r="K10" s="20" t="s">
        <v>47</v>
      </c>
      <c r="L10" s="21">
        <v>661000</v>
      </c>
    </row>
    <row r="11" spans="1:12" x14ac:dyDescent="0.25">
      <c r="A11" s="20" t="s">
        <v>26</v>
      </c>
      <c r="B11" s="21">
        <v>3772300</v>
      </c>
      <c r="K11" s="20" t="s">
        <v>41</v>
      </c>
      <c r="L11" s="21">
        <v>789200</v>
      </c>
    </row>
    <row r="12" spans="1:12" x14ac:dyDescent="0.25">
      <c r="A12" s="20" t="s">
        <v>37</v>
      </c>
      <c r="B12" s="21">
        <v>4222750</v>
      </c>
      <c r="K12" s="20" t="s">
        <v>33</v>
      </c>
      <c r="L12" s="21">
        <v>854050</v>
      </c>
    </row>
    <row r="13" spans="1:12" x14ac:dyDescent="0.25">
      <c r="A13" s="20" t="s">
        <v>47</v>
      </c>
      <c r="B13" s="21">
        <v>4386000</v>
      </c>
      <c r="K13" s="20" t="s">
        <v>26</v>
      </c>
      <c r="L13" s="21">
        <v>988300</v>
      </c>
    </row>
    <row r="14" spans="1:12" x14ac:dyDescent="0.25">
      <c r="A14" s="20" t="s">
        <v>33</v>
      </c>
      <c r="B14" s="21">
        <v>4789050</v>
      </c>
      <c r="K14" s="20" t="s">
        <v>37</v>
      </c>
      <c r="L14" s="21">
        <v>1137750</v>
      </c>
    </row>
    <row r="15" spans="1:12" x14ac:dyDescent="0.25">
      <c r="A15" s="20" t="s">
        <v>19</v>
      </c>
      <c r="B15" s="21">
        <v>8841150</v>
      </c>
      <c r="K15" s="20" t="s">
        <v>19</v>
      </c>
      <c r="L15" s="21">
        <v>1751150</v>
      </c>
    </row>
    <row r="16" spans="1:12" x14ac:dyDescent="0.25">
      <c r="A16" s="20" t="s">
        <v>12</v>
      </c>
      <c r="B16" s="21">
        <v>14555450</v>
      </c>
      <c r="K16" s="20" t="s">
        <v>12</v>
      </c>
      <c r="L16" s="21">
        <v>3186450</v>
      </c>
    </row>
    <row r="26" spans="1:24" x14ac:dyDescent="0.25">
      <c r="A26" s="19" t="s">
        <v>4</v>
      </c>
      <c r="B26" t="s">
        <v>134</v>
      </c>
      <c r="K26" s="19" t="s">
        <v>4</v>
      </c>
      <c r="L26" t="s">
        <v>135</v>
      </c>
      <c r="W26" s="19" t="s">
        <v>4</v>
      </c>
      <c r="X26" t="s">
        <v>136</v>
      </c>
    </row>
    <row r="27" spans="1:24" x14ac:dyDescent="0.25">
      <c r="A27" s="20" t="s">
        <v>35</v>
      </c>
      <c r="B27" s="21">
        <v>9268050</v>
      </c>
      <c r="K27" s="20" t="s">
        <v>35</v>
      </c>
      <c r="L27" s="22">
        <v>3334050</v>
      </c>
      <c r="W27" s="20" t="s">
        <v>35</v>
      </c>
      <c r="X27" s="31">
        <v>383</v>
      </c>
    </row>
    <row r="28" spans="1:24" x14ac:dyDescent="0.25">
      <c r="A28" s="20" t="s">
        <v>14</v>
      </c>
      <c r="B28" s="21">
        <v>23784550</v>
      </c>
      <c r="K28" s="20" t="s">
        <v>14</v>
      </c>
      <c r="L28" s="22">
        <v>3714550</v>
      </c>
      <c r="W28" s="20" t="s">
        <v>14</v>
      </c>
      <c r="X28" s="31">
        <v>95</v>
      </c>
    </row>
    <row r="29" spans="1:24" x14ac:dyDescent="0.25">
      <c r="A29" s="20" t="s">
        <v>21</v>
      </c>
      <c r="B29" s="21">
        <v>10199300</v>
      </c>
      <c r="K29" s="20" t="s">
        <v>21</v>
      </c>
      <c r="L29" s="22">
        <v>2319300</v>
      </c>
      <c r="W29" s="20" t="s">
        <v>21</v>
      </c>
      <c r="X29" s="31">
        <v>113</v>
      </c>
    </row>
    <row r="44" spans="1:24" x14ac:dyDescent="0.25">
      <c r="A44" s="19" t="s">
        <v>3</v>
      </c>
      <c r="B44" t="s">
        <v>134</v>
      </c>
      <c r="K44" s="19" t="s">
        <v>3</v>
      </c>
      <c r="L44" t="s">
        <v>135</v>
      </c>
      <c r="W44" s="19" t="s">
        <v>3</v>
      </c>
      <c r="X44" t="s">
        <v>136</v>
      </c>
    </row>
    <row r="45" spans="1:24" x14ac:dyDescent="0.25">
      <c r="A45" s="20" t="s">
        <v>27</v>
      </c>
      <c r="B45" s="21">
        <v>3949750</v>
      </c>
      <c r="K45" s="20" t="s">
        <v>38</v>
      </c>
      <c r="L45" s="21">
        <v>1602300</v>
      </c>
      <c r="W45" s="20" t="s">
        <v>30</v>
      </c>
      <c r="X45" s="31">
        <v>44</v>
      </c>
    </row>
    <row r="46" spans="1:24" x14ac:dyDescent="0.25">
      <c r="A46" s="20" t="s">
        <v>30</v>
      </c>
      <c r="B46" s="21">
        <v>4750800</v>
      </c>
      <c r="K46" s="20" t="s">
        <v>20</v>
      </c>
      <c r="L46" s="21">
        <v>1308500</v>
      </c>
      <c r="W46" s="20" t="s">
        <v>34</v>
      </c>
      <c r="X46" s="31">
        <v>100</v>
      </c>
    </row>
    <row r="47" spans="1:24" x14ac:dyDescent="0.25">
      <c r="A47" s="20" t="s">
        <v>20</v>
      </c>
      <c r="B47" s="21">
        <v>5448500</v>
      </c>
      <c r="K47" s="20" t="s">
        <v>50</v>
      </c>
      <c r="L47" s="21">
        <v>1288000</v>
      </c>
      <c r="W47" s="20" t="s">
        <v>42</v>
      </c>
      <c r="X47" s="31">
        <v>113</v>
      </c>
    </row>
    <row r="48" spans="1:24" x14ac:dyDescent="0.25">
      <c r="A48" s="20" t="s">
        <v>38</v>
      </c>
      <c r="B48" s="21">
        <v>8112300</v>
      </c>
      <c r="K48" s="20" t="s">
        <v>13</v>
      </c>
      <c r="L48" s="21">
        <v>1282500</v>
      </c>
      <c r="W48" s="20" t="s">
        <v>13</v>
      </c>
      <c r="X48" s="31">
        <v>29</v>
      </c>
    </row>
    <row r="49" spans="1:24" x14ac:dyDescent="0.25">
      <c r="A49" s="20" t="s">
        <v>13</v>
      </c>
      <c r="B49" s="21">
        <v>11722500</v>
      </c>
      <c r="K49" s="20" t="s">
        <v>34</v>
      </c>
      <c r="L49" s="21">
        <v>1051850</v>
      </c>
      <c r="W49" s="20" t="s">
        <v>38</v>
      </c>
      <c r="X49" s="31">
        <v>42</v>
      </c>
    </row>
    <row r="50" spans="1:24" x14ac:dyDescent="0.25">
      <c r="K50" s="20" t="s">
        <v>30</v>
      </c>
      <c r="L50" s="21">
        <v>1010800</v>
      </c>
      <c r="W50" s="20" t="s">
        <v>50</v>
      </c>
      <c r="X50" s="31">
        <v>170</v>
      </c>
    </row>
    <row r="51" spans="1:24" x14ac:dyDescent="0.25">
      <c r="K51" s="20" t="s">
        <v>42</v>
      </c>
      <c r="L51" s="21">
        <v>994200</v>
      </c>
      <c r="W51" s="20" t="s">
        <v>20</v>
      </c>
      <c r="X51" s="31">
        <v>69</v>
      </c>
    </row>
    <row r="52" spans="1:24" x14ac:dyDescent="0.25">
      <c r="K52" s="20" t="s">
        <v>27</v>
      </c>
      <c r="L52" s="21">
        <v>829750</v>
      </c>
      <c r="W52" s="20" t="s">
        <v>27</v>
      </c>
      <c r="X52" s="31">
        <v>24</v>
      </c>
    </row>
    <row r="66" spans="1:14" x14ac:dyDescent="0.25">
      <c r="A66" s="19" t="s">
        <v>2</v>
      </c>
      <c r="B66" t="s">
        <v>134</v>
      </c>
    </row>
    <row r="67" spans="1:14" x14ac:dyDescent="0.25">
      <c r="A67" s="20" t="s">
        <v>40</v>
      </c>
      <c r="B67" s="21">
        <v>2685200</v>
      </c>
      <c r="M67" s="19" t="s">
        <v>2</v>
      </c>
      <c r="N67" t="s">
        <v>135</v>
      </c>
    </row>
    <row r="68" spans="1:14" x14ac:dyDescent="0.25">
      <c r="A68" s="20" t="s">
        <v>25</v>
      </c>
      <c r="B68" s="21">
        <v>3772300</v>
      </c>
      <c r="M68" s="20" t="s">
        <v>46</v>
      </c>
      <c r="N68" s="21">
        <v>661000</v>
      </c>
    </row>
    <row r="69" spans="1:14" x14ac:dyDescent="0.25">
      <c r="A69" s="20" t="s">
        <v>49</v>
      </c>
      <c r="B69" s="21">
        <v>4182750</v>
      </c>
      <c r="M69" s="20" t="s">
        <v>18</v>
      </c>
      <c r="N69" s="21">
        <v>743400</v>
      </c>
    </row>
    <row r="70" spans="1:14" x14ac:dyDescent="0.25">
      <c r="A70" s="20" t="s">
        <v>36</v>
      </c>
      <c r="B70" s="21">
        <v>4222750</v>
      </c>
      <c r="M70" s="20" t="s">
        <v>40</v>
      </c>
      <c r="N70" s="21">
        <v>789200</v>
      </c>
    </row>
    <row r="71" spans="1:14" x14ac:dyDescent="0.25">
      <c r="A71" s="20" t="s">
        <v>11</v>
      </c>
      <c r="B71" s="21">
        <v>4274050</v>
      </c>
      <c r="M71" s="20" t="s">
        <v>32</v>
      </c>
      <c r="N71" s="21">
        <v>854050</v>
      </c>
    </row>
    <row r="72" spans="1:14" x14ac:dyDescent="0.25">
      <c r="A72" s="20" t="s">
        <v>46</v>
      </c>
      <c r="B72" s="21">
        <v>4386000</v>
      </c>
      <c r="M72" s="20" t="s">
        <v>25</v>
      </c>
      <c r="N72" s="21">
        <v>988300</v>
      </c>
    </row>
    <row r="73" spans="1:14" x14ac:dyDescent="0.25">
      <c r="A73" s="20" t="s">
        <v>44</v>
      </c>
      <c r="B73" s="21">
        <v>4455000</v>
      </c>
      <c r="M73" s="20" t="s">
        <v>49</v>
      </c>
      <c r="N73" s="21">
        <v>1007750</v>
      </c>
    </row>
    <row r="74" spans="1:14" x14ac:dyDescent="0.25">
      <c r="A74" s="20" t="s">
        <v>18</v>
      </c>
      <c r="B74" s="21">
        <v>4658400</v>
      </c>
      <c r="M74" s="20" t="s">
        <v>11</v>
      </c>
      <c r="N74" s="21">
        <v>1024050</v>
      </c>
    </row>
    <row r="75" spans="1:14" x14ac:dyDescent="0.25">
      <c r="A75" s="20" t="s">
        <v>32</v>
      </c>
      <c r="B75" s="21">
        <v>4789050</v>
      </c>
      <c r="M75" s="20" t="s">
        <v>29</v>
      </c>
      <c r="N75" s="21">
        <v>1077400</v>
      </c>
    </row>
    <row r="76" spans="1:14" x14ac:dyDescent="0.25">
      <c r="A76" s="20" t="s">
        <v>29</v>
      </c>
      <c r="B76" s="21">
        <v>5826400</v>
      </c>
      <c r="M76" s="20" t="s">
        <v>44</v>
      </c>
      <c r="N76" s="21">
        <v>1085000</v>
      </c>
    </row>
    <row r="77" spans="1:14" x14ac:dyDescent="0.25">
      <c r="M77" s="20" t="s">
        <v>36</v>
      </c>
      <c r="N77" s="21">
        <v>1137750</v>
      </c>
    </row>
    <row r="89" spans="1:14" x14ac:dyDescent="0.25">
      <c r="A89" s="19" t="s">
        <v>9</v>
      </c>
      <c r="B89" t="s">
        <v>137</v>
      </c>
      <c r="M89" s="19" t="s">
        <v>9</v>
      </c>
      <c r="N89" t="s">
        <v>134</v>
      </c>
    </row>
    <row r="90" spans="1:14" x14ac:dyDescent="0.25">
      <c r="A90" s="20" t="s">
        <v>16</v>
      </c>
      <c r="B90" s="31">
        <v>18</v>
      </c>
      <c r="M90" s="20" t="s">
        <v>16</v>
      </c>
      <c r="N90" s="22">
        <v>19561300</v>
      </c>
    </row>
    <row r="91" spans="1:14" x14ac:dyDescent="0.25">
      <c r="A91" s="20" t="s">
        <v>28</v>
      </c>
      <c r="B91" s="31">
        <v>13</v>
      </c>
      <c r="M91" s="20" t="s">
        <v>28</v>
      </c>
      <c r="N91" s="22">
        <v>9246800</v>
      </c>
    </row>
    <row r="92" spans="1:14" x14ac:dyDescent="0.25">
      <c r="A92" s="20" t="s">
        <v>23</v>
      </c>
      <c r="B92" s="31">
        <v>17</v>
      </c>
      <c r="M92" s="20" t="s">
        <v>23</v>
      </c>
      <c r="N92" s="22">
        <v>13645800</v>
      </c>
    </row>
    <row r="111" spans="1:14" x14ac:dyDescent="0.25">
      <c r="M111" s="19" t="s">
        <v>145</v>
      </c>
      <c r="N111" t="s">
        <v>134</v>
      </c>
    </row>
    <row r="112" spans="1:14" x14ac:dyDescent="0.25">
      <c r="A112" s="19" t="s">
        <v>145</v>
      </c>
      <c r="B112" t="s">
        <v>134</v>
      </c>
      <c r="C112" t="s">
        <v>135</v>
      </c>
      <c r="D112" t="s">
        <v>143</v>
      </c>
      <c r="M112" s="20" t="s">
        <v>138</v>
      </c>
      <c r="N112" s="21">
        <v>7612450</v>
      </c>
    </row>
    <row r="113" spans="1:14" x14ac:dyDescent="0.25">
      <c r="A113" s="20" t="s">
        <v>138</v>
      </c>
      <c r="B113" s="21">
        <v>7612450</v>
      </c>
      <c r="C113" s="21">
        <v>1656450</v>
      </c>
      <c r="D113" s="31">
        <v>11</v>
      </c>
      <c r="M113" s="20" t="s">
        <v>139</v>
      </c>
      <c r="N113" s="21">
        <v>8320000</v>
      </c>
    </row>
    <row r="114" spans="1:14" x14ac:dyDescent="0.25">
      <c r="A114" s="20" t="s">
        <v>139</v>
      </c>
      <c r="B114" s="21">
        <v>8320000</v>
      </c>
      <c r="C114" s="21">
        <v>1799000</v>
      </c>
      <c r="D114" s="31">
        <v>10</v>
      </c>
      <c r="M114" s="20" t="s">
        <v>140</v>
      </c>
      <c r="N114" s="21">
        <v>9695150</v>
      </c>
    </row>
    <row r="115" spans="1:14" x14ac:dyDescent="0.25">
      <c r="A115" s="20" t="s">
        <v>140</v>
      </c>
      <c r="B115" s="21">
        <v>9695150</v>
      </c>
      <c r="C115" s="21">
        <v>2088150</v>
      </c>
      <c r="D115" s="31">
        <v>10</v>
      </c>
      <c r="M115" s="20" t="s">
        <v>141</v>
      </c>
      <c r="N115" s="21">
        <v>7547700</v>
      </c>
    </row>
    <row r="116" spans="1:14" x14ac:dyDescent="0.25">
      <c r="A116" s="20" t="s">
        <v>141</v>
      </c>
      <c r="B116" s="21">
        <v>7547700</v>
      </c>
      <c r="C116" s="21">
        <v>1533700</v>
      </c>
      <c r="D116" s="31">
        <v>8</v>
      </c>
      <c r="M116" s="20" t="s">
        <v>142</v>
      </c>
      <c r="N116" s="21">
        <v>10076600</v>
      </c>
    </row>
    <row r="117" spans="1:14" x14ac:dyDescent="0.25">
      <c r="A117" s="20" t="s">
        <v>142</v>
      </c>
      <c r="B117" s="21">
        <v>10076600</v>
      </c>
      <c r="C117" s="21">
        <v>2290600</v>
      </c>
      <c r="D117" s="31">
        <v>10</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638D-8D2A-4B0F-B7EC-916BB889870C}">
  <dimension ref="A1:Y60"/>
  <sheetViews>
    <sheetView zoomScale="80" zoomScaleNormal="66" workbookViewId="0">
      <pane ySplit="1" topLeftCell="A2" activePane="bottomLeft" state="frozen"/>
      <selection pane="bottomLeft" activeCell="A7" sqref="A7"/>
    </sheetView>
  </sheetViews>
  <sheetFormatPr defaultColWidth="14" defaultRowHeight="15" x14ac:dyDescent="0.25"/>
  <cols>
    <col min="1" max="1" width="13.42578125" bestFit="1" customWidth="1"/>
    <col min="2" max="2" width="15.5703125" style="7" bestFit="1" customWidth="1"/>
    <col min="3" max="3" width="14.42578125" bestFit="1" customWidth="1"/>
    <col min="4" max="4" width="17.5703125" customWidth="1"/>
    <col min="5" max="5" width="16.7109375" bestFit="1" customWidth="1"/>
    <col min="6" max="6" width="11.28515625" bestFit="1" customWidth="1"/>
    <col min="7" max="7" width="12.7109375" bestFit="1" customWidth="1"/>
    <col min="8" max="8" width="13.140625" bestFit="1" customWidth="1"/>
    <col min="9" max="9" width="14.140625" bestFit="1" customWidth="1"/>
    <col min="10" max="10" width="17.85546875" bestFit="1" customWidth="1"/>
    <col min="11" max="12" width="17.85546875" customWidth="1"/>
    <col min="13" max="13" width="14.5703125" style="14" bestFit="1" customWidth="1"/>
    <col min="14" max="14" width="14.140625" style="14" bestFit="1" customWidth="1"/>
    <col min="15" max="15" width="14.85546875" style="14" customWidth="1"/>
    <col min="16" max="18" width="14.5703125" style="14" customWidth="1"/>
    <col min="19" max="19" width="16" bestFit="1" customWidth="1"/>
    <col min="20" max="20" width="19.42578125" bestFit="1" customWidth="1"/>
    <col min="21" max="21" width="16.28515625" customWidth="1"/>
    <col min="22" max="23" width="16.140625" customWidth="1"/>
    <col min="24" max="24" width="37.85546875" bestFit="1" customWidth="1"/>
    <col min="25" max="25" width="20.42578125" customWidth="1"/>
  </cols>
  <sheetData>
    <row r="1" spans="1:25" ht="30" x14ac:dyDescent="0.25">
      <c r="A1" s="1" t="s">
        <v>0</v>
      </c>
      <c r="B1" s="5" t="s">
        <v>1</v>
      </c>
      <c r="C1" s="1" t="s">
        <v>87</v>
      </c>
      <c r="D1" s="1" t="s">
        <v>116</v>
      </c>
      <c r="E1" s="1" t="s">
        <v>2</v>
      </c>
      <c r="F1" s="1" t="s">
        <v>90</v>
      </c>
      <c r="G1" s="1" t="s">
        <v>88</v>
      </c>
      <c r="H1" s="1" t="s">
        <v>3</v>
      </c>
      <c r="I1" s="1" t="s">
        <v>4</v>
      </c>
      <c r="J1" s="1" t="s">
        <v>103</v>
      </c>
      <c r="K1" s="12" t="s">
        <v>5</v>
      </c>
      <c r="L1" s="12" t="s">
        <v>117</v>
      </c>
      <c r="M1" s="1" t="s">
        <v>6</v>
      </c>
      <c r="N1" s="1" t="s">
        <v>105</v>
      </c>
      <c r="O1" s="1" t="s">
        <v>118</v>
      </c>
      <c r="P1" s="1" t="s">
        <v>7</v>
      </c>
      <c r="Q1" s="1" t="s">
        <v>106</v>
      </c>
      <c r="R1" s="1" t="s">
        <v>119</v>
      </c>
      <c r="S1" s="1" t="s">
        <v>8</v>
      </c>
      <c r="T1" s="1" t="s">
        <v>9</v>
      </c>
      <c r="U1" s="1" t="s">
        <v>128</v>
      </c>
      <c r="V1" s="1" t="s">
        <v>129</v>
      </c>
      <c r="W1" s="1"/>
    </row>
    <row r="2" spans="1:25" x14ac:dyDescent="0.25">
      <c r="A2" s="2" t="s">
        <v>10</v>
      </c>
      <c r="B2" s="6">
        <v>46027</v>
      </c>
      <c r="C2" s="3">
        <v>46030</v>
      </c>
      <c r="D2" s="3" t="str">
        <f>IF(Table1[[#This Row],[Ship Date]]&gt;=Table1[[#This Row],[Order Date]],"Valid","Invalid ship date")</f>
        <v>Valid</v>
      </c>
      <c r="E2" s="2" t="s">
        <v>11</v>
      </c>
      <c r="F2" s="2" t="s">
        <v>89</v>
      </c>
      <c r="G2" s="2" t="s">
        <v>12</v>
      </c>
      <c r="H2" s="2" t="s">
        <v>13</v>
      </c>
      <c r="I2" s="2" t="s">
        <v>14</v>
      </c>
      <c r="J2" s="2">
        <v>3</v>
      </c>
      <c r="K2" s="13">
        <v>450000</v>
      </c>
      <c r="L2" s="13">
        <f>Table1[[#This Row],[Quantity Sold ]]*Table1[[#This Row],[Unit Price]]</f>
        <v>1350000</v>
      </c>
      <c r="M2" s="4">
        <v>0.05</v>
      </c>
      <c r="N2" s="13">
        <f>Table1[[#This Row],[Gross Sales]]*Table1[[#This Row],[Discount %]]</f>
        <v>67500</v>
      </c>
      <c r="O2" s="13">
        <f>Table1[[#This Row],[Gross Sales]]-Table1[[#This Row],[Discount Amount]]</f>
        <v>1282500</v>
      </c>
      <c r="P2" s="16">
        <v>360000</v>
      </c>
      <c r="Q2" s="13">
        <f>Table1[[#This Row],[Quantity Sold ]]*Table1[[#This Row],[Unit Cost]]</f>
        <v>1080000</v>
      </c>
      <c r="R2" s="13">
        <f>Table1[[#This Row],[Revenue]]-Table1[[#This Row],[Total Cost]]</f>
        <v>202500</v>
      </c>
      <c r="S2" s="2" t="s">
        <v>15</v>
      </c>
      <c r="T2" s="2" t="s">
        <v>16</v>
      </c>
      <c r="U2" s="2" t="str">
        <f>IF(Table1[[#This Row],[Revenue]]&gt;=1000000,"High Value","Standard")</f>
        <v>High Value</v>
      </c>
      <c r="V2" s="2" t="str">
        <f>IF(Table1[[#This Row],[Profit]]&gt;=250000,"High Profit","Standard Profit")</f>
        <v>Standard Profit</v>
      </c>
      <c r="W2" s="2"/>
    </row>
    <row r="3" spans="1:25" x14ac:dyDescent="0.25">
      <c r="A3" s="2" t="s">
        <v>17</v>
      </c>
      <c r="B3" s="6">
        <v>46028</v>
      </c>
      <c r="C3" s="6">
        <v>46029</v>
      </c>
      <c r="D3" s="6" t="str">
        <f>IF(Table1[[#This Row],[Ship Date]]&gt;=Table1[[#This Row],[Order Date]],"Valid","Invalid ship date")</f>
        <v>Valid</v>
      </c>
      <c r="E3" s="2" t="s">
        <v>18</v>
      </c>
      <c r="F3" s="2" t="s">
        <v>91</v>
      </c>
      <c r="G3" s="2" t="s">
        <v>19</v>
      </c>
      <c r="H3" s="2" t="s">
        <v>20</v>
      </c>
      <c r="I3" s="2" t="s">
        <v>21</v>
      </c>
      <c r="J3" s="2">
        <v>8</v>
      </c>
      <c r="K3" s="13">
        <v>85000</v>
      </c>
      <c r="L3" s="13">
        <f>Table1[[#This Row],[Quantity Sold ]]*Table1[[#This Row],[Unit Price]]</f>
        <v>680000</v>
      </c>
      <c r="M3" s="4">
        <v>0.1</v>
      </c>
      <c r="N3" s="13">
        <f>Table1[[#This Row],[Gross Sales]]*Table1[[#This Row],[Discount %]]</f>
        <v>68000</v>
      </c>
      <c r="O3" s="13">
        <f>Table1[[#This Row],[Gross Sales]]-Table1[[#This Row],[Discount Amount]]</f>
        <v>612000</v>
      </c>
      <c r="P3" s="16">
        <v>60000</v>
      </c>
      <c r="Q3" s="13">
        <f>Table1[[#This Row],[Quantity Sold ]]*Table1[[#This Row],[Unit Cost]]</f>
        <v>480000</v>
      </c>
      <c r="R3" s="13">
        <f>Table1[[#This Row],[Revenue]]-Table1[[#This Row],[Total Cost]]</f>
        <v>132000</v>
      </c>
      <c r="S3" s="2" t="s">
        <v>22</v>
      </c>
      <c r="T3" s="2" t="s">
        <v>23</v>
      </c>
      <c r="U3" s="2" t="str">
        <f>IF(Table1[[#This Row],[Revenue]]&gt;=1000000,"High Value","Standard")</f>
        <v>Standard</v>
      </c>
      <c r="V3" s="2" t="str">
        <f>IF(Table1[[#This Row],[Profit]]&gt;=250000,"High Profit","Standard Profit")</f>
        <v>Standard Profit</v>
      </c>
      <c r="W3" s="2"/>
      <c r="Y3" s="14"/>
    </row>
    <row r="4" spans="1:25" x14ac:dyDescent="0.25">
      <c r="A4" s="2" t="s">
        <v>24</v>
      </c>
      <c r="B4" s="6">
        <v>46030</v>
      </c>
      <c r="C4" s="3">
        <v>46042</v>
      </c>
      <c r="D4" s="3" t="str">
        <f>IF(Table1[[#This Row],[Ship Date]]&gt;=Table1[[#This Row],[Order Date]],"Valid","Invalid ship date")</f>
        <v>Valid</v>
      </c>
      <c r="E4" s="2" t="s">
        <v>25</v>
      </c>
      <c r="F4" s="2" t="s">
        <v>92</v>
      </c>
      <c r="G4" s="2" t="s">
        <v>26</v>
      </c>
      <c r="H4" s="2" t="s">
        <v>27</v>
      </c>
      <c r="I4" s="2" t="s">
        <v>14</v>
      </c>
      <c r="J4" s="2">
        <v>4</v>
      </c>
      <c r="K4" s="13">
        <v>175000</v>
      </c>
      <c r="L4" s="13">
        <f>Table1[[#This Row],[Quantity Sold ]]*Table1[[#This Row],[Unit Price]]</f>
        <v>700000</v>
      </c>
      <c r="M4" s="4">
        <v>0</v>
      </c>
      <c r="N4" s="13">
        <f>Table1[[#This Row],[Gross Sales]]*Table1[[#This Row],[Discount %]]</f>
        <v>0</v>
      </c>
      <c r="O4" s="13">
        <f>Table1[[#This Row],[Gross Sales]]-Table1[[#This Row],[Discount Amount]]</f>
        <v>700000</v>
      </c>
      <c r="P4" s="16">
        <v>130000</v>
      </c>
      <c r="Q4" s="13">
        <f>Table1[[#This Row],[Quantity Sold ]]*Table1[[#This Row],[Unit Cost]]</f>
        <v>520000</v>
      </c>
      <c r="R4" s="13">
        <f>Table1[[#This Row],[Revenue]]-Table1[[#This Row],[Total Cost]]</f>
        <v>180000</v>
      </c>
      <c r="S4" s="2" t="s">
        <v>15</v>
      </c>
      <c r="T4" s="2" t="s">
        <v>28</v>
      </c>
      <c r="U4" s="2" t="str">
        <f>IF(Table1[[#This Row],[Revenue]]&gt;=1000000,"High Value","Standard")</f>
        <v>Standard</v>
      </c>
      <c r="V4" s="2" t="str">
        <f>IF(Table1[[#This Row],[Profit]]&gt;=250000,"High Profit","Standard Profit")</f>
        <v>Standard Profit</v>
      </c>
      <c r="W4" s="2"/>
      <c r="Y4" s="14"/>
    </row>
    <row r="5" spans="1:25" x14ac:dyDescent="0.25">
      <c r="A5" s="2" t="s">
        <v>115</v>
      </c>
      <c r="B5" s="6">
        <v>46032</v>
      </c>
      <c r="C5" s="6">
        <v>46033</v>
      </c>
      <c r="D5" s="6" t="str">
        <f>IF(Table1[[#This Row],[Ship Date]]&gt;=Table1[[#This Row],[Order Date]],"Valid","Invalid ship date")</f>
        <v>Valid</v>
      </c>
      <c r="E5" s="2" t="s">
        <v>29</v>
      </c>
      <c r="F5" s="2" t="s">
        <v>89</v>
      </c>
      <c r="G5" s="2" t="s">
        <v>12</v>
      </c>
      <c r="H5" s="2" t="s">
        <v>30</v>
      </c>
      <c r="I5" s="2" t="s">
        <v>21</v>
      </c>
      <c r="J5" s="2">
        <v>6</v>
      </c>
      <c r="K5" s="13">
        <v>120000</v>
      </c>
      <c r="L5" s="13">
        <f>Table1[[#This Row],[Quantity Sold ]]*Table1[[#This Row],[Unit Price]]</f>
        <v>720000</v>
      </c>
      <c r="M5" s="4">
        <v>0.05</v>
      </c>
      <c r="N5" s="13">
        <f>Table1[[#This Row],[Gross Sales]]*Table1[[#This Row],[Discount %]]</f>
        <v>36000</v>
      </c>
      <c r="O5" s="13">
        <f>Table1[[#This Row],[Gross Sales]]-Table1[[#This Row],[Discount Amount]]</f>
        <v>684000</v>
      </c>
      <c r="P5" s="16">
        <v>85000</v>
      </c>
      <c r="Q5" s="13">
        <f>Table1[[#This Row],[Quantity Sold ]]*Table1[[#This Row],[Unit Cost]]</f>
        <v>510000</v>
      </c>
      <c r="R5" s="13">
        <f>Table1[[#This Row],[Revenue]]-Table1[[#This Row],[Total Cost]]</f>
        <v>174000</v>
      </c>
      <c r="S5" s="2" t="s">
        <v>22</v>
      </c>
      <c r="T5" s="2" t="s">
        <v>16</v>
      </c>
      <c r="U5" s="2" t="str">
        <f>IF(Table1[[#This Row],[Revenue]]&gt;=1000000,"High Value","Standard")</f>
        <v>Standard</v>
      </c>
      <c r="V5" s="2" t="str">
        <f>IF(Table1[[#This Row],[Profit]]&gt;=250000,"High Profit","Standard Profit")</f>
        <v>Standard Profit</v>
      </c>
      <c r="W5" s="2"/>
      <c r="X5" s="18"/>
      <c r="Y5" s="18"/>
    </row>
    <row r="6" spans="1:25" x14ac:dyDescent="0.25">
      <c r="A6" s="2" t="s">
        <v>31</v>
      </c>
      <c r="B6" s="9">
        <v>46034</v>
      </c>
      <c r="C6" s="10">
        <v>46039</v>
      </c>
      <c r="D6" s="10" t="str">
        <f>IF(Table1[[#This Row],[Ship Date]]&gt;=Table1[[#This Row],[Order Date]],"Valid","Invalid ship date")</f>
        <v>Valid</v>
      </c>
      <c r="E6" s="8" t="s">
        <v>32</v>
      </c>
      <c r="F6" s="2" t="s">
        <v>93</v>
      </c>
      <c r="G6" s="8" t="s">
        <v>33</v>
      </c>
      <c r="H6" s="8" t="s">
        <v>34</v>
      </c>
      <c r="I6" s="8" t="s">
        <v>35</v>
      </c>
      <c r="J6" s="8">
        <v>15</v>
      </c>
      <c r="K6" s="15">
        <v>35000</v>
      </c>
      <c r="L6" s="15">
        <f>Table1[[#This Row],[Quantity Sold ]]*Table1[[#This Row],[Unit Price]]</f>
        <v>525000</v>
      </c>
      <c r="M6" s="11">
        <v>0.08</v>
      </c>
      <c r="N6" s="15">
        <f>Table1[[#This Row],[Gross Sales]]*Table1[[#This Row],[Discount %]]</f>
        <v>42000</v>
      </c>
      <c r="O6" s="15">
        <f>Table1[[#This Row],[Gross Sales]]-Table1[[#This Row],[Discount Amount]]</f>
        <v>483000</v>
      </c>
      <c r="P6" s="17">
        <v>22000</v>
      </c>
      <c r="Q6" s="15">
        <f>Table1[[#This Row],[Quantity Sold ]]*Table1[[#This Row],[Unit Cost]]</f>
        <v>330000</v>
      </c>
      <c r="R6" s="15">
        <f>Table1[[#This Row],[Revenue]]-Table1[[#This Row],[Total Cost]]</f>
        <v>153000</v>
      </c>
      <c r="S6" s="8" t="s">
        <v>15</v>
      </c>
      <c r="T6" s="8" t="s">
        <v>23</v>
      </c>
      <c r="U6" s="2" t="str">
        <f>IF(Table1[[#This Row],[Revenue]]&gt;=1000000,"High Value","Standard")</f>
        <v>Standard</v>
      </c>
      <c r="V6" s="2" t="str">
        <f>IF(Table1[[#This Row],[Profit]]&gt;=250000,"High Profit","Standard Profit")</f>
        <v>Standard Profit</v>
      </c>
      <c r="W6" s="2"/>
      <c r="X6" s="18" t="s">
        <v>107</v>
      </c>
      <c r="Y6" s="24">
        <f>SUM(Table1[Revenue])</f>
        <v>43251900</v>
      </c>
    </row>
    <row r="7" spans="1:25" x14ac:dyDescent="0.25">
      <c r="A7" s="2" t="s">
        <v>114</v>
      </c>
      <c r="B7" s="6">
        <v>46037</v>
      </c>
      <c r="C7" s="3">
        <v>46044</v>
      </c>
      <c r="D7" s="3" t="str">
        <f>IF(Table1[[#This Row],[Ship Date]]&gt;=Table1[[#This Row],[Order Date]],"Valid","Invalid ship date")</f>
        <v>Valid</v>
      </c>
      <c r="E7" s="2" t="s">
        <v>36</v>
      </c>
      <c r="F7" s="2" t="s">
        <v>94</v>
      </c>
      <c r="G7" s="2" t="s">
        <v>37</v>
      </c>
      <c r="H7" s="2" t="s">
        <v>38</v>
      </c>
      <c r="I7" s="2" t="s">
        <v>14</v>
      </c>
      <c r="J7" s="2">
        <v>7</v>
      </c>
      <c r="K7" s="13">
        <v>210000</v>
      </c>
      <c r="L7" s="13">
        <f>Table1[[#This Row],[Quantity Sold ]]*Table1[[#This Row],[Unit Price]]</f>
        <v>1470000</v>
      </c>
      <c r="M7" s="4">
        <v>0.1</v>
      </c>
      <c r="N7" s="13">
        <f>Table1[[#This Row],[Gross Sales]]*Table1[[#This Row],[Discount %]]</f>
        <v>147000</v>
      </c>
      <c r="O7" s="13">
        <f>Table1[[#This Row],[Gross Sales]]-Table1[[#This Row],[Discount Amount]]</f>
        <v>1323000</v>
      </c>
      <c r="P7" s="16">
        <v>155000</v>
      </c>
      <c r="Q7" s="13">
        <f>Table1[[#This Row],[Quantity Sold ]]*Table1[[#This Row],[Unit Cost]]</f>
        <v>1085000</v>
      </c>
      <c r="R7" s="13">
        <f>Table1[[#This Row],[Revenue]]-Table1[[#This Row],[Total Cost]]</f>
        <v>238000</v>
      </c>
      <c r="S7" s="2" t="s">
        <v>22</v>
      </c>
      <c r="T7" s="2" t="s">
        <v>16</v>
      </c>
      <c r="U7" s="2" t="str">
        <f>IF(Table1[[#This Row],[Revenue]]&gt;=1000000,"High Value","Standard")</f>
        <v>High Value</v>
      </c>
      <c r="V7" s="2" t="str">
        <f>IF(Table1[[#This Row],[Profit]]&gt;=250000,"High Profit","Standard Profit")</f>
        <v>Standard Profit</v>
      </c>
      <c r="W7" s="2"/>
      <c r="X7" s="18" t="s">
        <v>120</v>
      </c>
      <c r="Y7" s="24">
        <f>AVERAGE(Table1[Revenue])</f>
        <v>882691.83673469385</v>
      </c>
    </row>
    <row r="8" spans="1:25" x14ac:dyDescent="0.25">
      <c r="A8" s="2" t="s">
        <v>39</v>
      </c>
      <c r="B8" s="6">
        <v>46040</v>
      </c>
      <c r="C8" s="3">
        <v>46052</v>
      </c>
      <c r="D8" s="3" t="str">
        <f>IF(Table1[[#This Row],[Ship Date]]&gt;=Table1[[#This Row],[Order Date]],"Valid","Invalid ship date")</f>
        <v>Valid</v>
      </c>
      <c r="E8" s="2" t="s">
        <v>40</v>
      </c>
      <c r="F8" s="2" t="s">
        <v>96</v>
      </c>
      <c r="G8" s="2" t="s">
        <v>41</v>
      </c>
      <c r="H8" s="2" t="s">
        <v>42</v>
      </c>
      <c r="I8" s="2" t="s">
        <v>35</v>
      </c>
      <c r="J8" s="2">
        <v>12</v>
      </c>
      <c r="K8" s="13">
        <v>28000</v>
      </c>
      <c r="L8" s="13">
        <f>Table1[[#This Row],[Quantity Sold ]]*Table1[[#This Row],[Unit Price]]</f>
        <v>336000</v>
      </c>
      <c r="M8" s="4">
        <v>0.05</v>
      </c>
      <c r="N8" s="13">
        <f>Table1[[#This Row],[Gross Sales]]*Table1[[#This Row],[Discount %]]</f>
        <v>16800</v>
      </c>
      <c r="O8" s="13">
        <f>Table1[[#This Row],[Gross Sales]]-Table1[[#This Row],[Discount Amount]]</f>
        <v>319200</v>
      </c>
      <c r="P8" s="16">
        <v>18000</v>
      </c>
      <c r="Q8" s="13">
        <f>Table1[[#This Row],[Quantity Sold ]]*Table1[[#This Row],[Unit Cost]]</f>
        <v>216000</v>
      </c>
      <c r="R8" s="13">
        <f>Table1[[#This Row],[Revenue]]-Table1[[#This Row],[Total Cost]]</f>
        <v>103200</v>
      </c>
      <c r="S8" s="2" t="s">
        <v>15</v>
      </c>
      <c r="T8" s="2" t="s">
        <v>28</v>
      </c>
      <c r="U8" s="2" t="str">
        <f>IF(Table1[[#This Row],[Revenue]]&gt;=1000000,"High Value","Standard")</f>
        <v>Standard</v>
      </c>
      <c r="V8" s="2" t="str">
        <f>IF(Table1[[#This Row],[Profit]]&gt;=250000,"High Profit","Standard Profit")</f>
        <v>Standard Profit</v>
      </c>
      <c r="W8" s="2"/>
      <c r="X8" s="18" t="s">
        <v>121</v>
      </c>
      <c r="Y8" s="24">
        <f>MAX(Table1[Revenue])</f>
        <v>2376000</v>
      </c>
    </row>
    <row r="9" spans="1:25" x14ac:dyDescent="0.25">
      <c r="A9" s="2" t="s">
        <v>43</v>
      </c>
      <c r="B9" s="6">
        <v>46042</v>
      </c>
      <c r="C9" s="6">
        <v>46043</v>
      </c>
      <c r="D9" s="6" t="str">
        <f>IF(Table1[[#This Row],[Ship Date]]&gt;=Table1[[#This Row],[Order Date]],"Valid","Invalid ship date")</f>
        <v>Valid</v>
      </c>
      <c r="E9" s="2" t="s">
        <v>98</v>
      </c>
      <c r="F9" s="2" t="s">
        <v>89</v>
      </c>
      <c r="G9" s="2" t="s">
        <v>12</v>
      </c>
      <c r="H9" s="2" t="s">
        <v>13</v>
      </c>
      <c r="I9" s="2" t="s">
        <v>14</v>
      </c>
      <c r="J9" s="2">
        <v>2</v>
      </c>
      <c r="K9" s="13">
        <v>450000</v>
      </c>
      <c r="L9" s="13">
        <f>Table1[[#This Row],[Quantity Sold ]]*Table1[[#This Row],[Unit Price]]</f>
        <v>900000</v>
      </c>
      <c r="M9" s="4">
        <v>0.12</v>
      </c>
      <c r="N9" s="13">
        <f>Table1[[#This Row],[Gross Sales]]*Table1[[#This Row],[Discount %]]</f>
        <v>108000</v>
      </c>
      <c r="O9" s="13">
        <f>Table1[[#This Row],[Gross Sales]]-Table1[[#This Row],[Discount Amount]]</f>
        <v>792000</v>
      </c>
      <c r="P9" s="16">
        <v>360000</v>
      </c>
      <c r="Q9" s="13">
        <f>Table1[[#This Row],[Quantity Sold ]]*Table1[[#This Row],[Unit Cost]]</f>
        <v>720000</v>
      </c>
      <c r="R9" s="13">
        <f>Table1[[#This Row],[Revenue]]-Table1[[#This Row],[Total Cost]]</f>
        <v>72000</v>
      </c>
      <c r="S9" s="2" t="s">
        <v>22</v>
      </c>
      <c r="T9" s="2" t="s">
        <v>23</v>
      </c>
      <c r="U9" s="2" t="str">
        <f>IF(Table1[[#This Row],[Revenue]]&gt;=1000000,"High Value","Standard")</f>
        <v>Standard</v>
      </c>
      <c r="V9" s="2" t="str">
        <f>IF(Table1[[#This Row],[Profit]]&gt;=250000,"High Profit","Standard Profit")</f>
        <v>Standard Profit</v>
      </c>
      <c r="W9" s="2"/>
      <c r="X9" s="18" t="s">
        <v>122</v>
      </c>
      <c r="Y9" s="24">
        <f>MIN(Table1[Revenue])</f>
        <v>319200</v>
      </c>
    </row>
    <row r="10" spans="1:25" x14ac:dyDescent="0.25">
      <c r="A10" s="2" t="s">
        <v>45</v>
      </c>
      <c r="B10" s="6">
        <v>46044</v>
      </c>
      <c r="C10" s="6">
        <v>46045</v>
      </c>
      <c r="D10" s="6" t="str">
        <f>IF(Table1[[#This Row],[Ship Date]]&gt;=Table1[[#This Row],[Order Date]],"Valid","Invalid ship date")</f>
        <v>Valid</v>
      </c>
      <c r="E10" s="2" t="s">
        <v>46</v>
      </c>
      <c r="F10" s="2" t="s">
        <v>95</v>
      </c>
      <c r="G10" s="2" t="s">
        <v>47</v>
      </c>
      <c r="H10" s="2" t="s">
        <v>30</v>
      </c>
      <c r="I10" s="2" t="s">
        <v>21</v>
      </c>
      <c r="J10" s="2">
        <v>5</v>
      </c>
      <c r="K10" s="13">
        <v>120000</v>
      </c>
      <c r="L10" s="13">
        <f>Table1[[#This Row],[Quantity Sold ]]*Table1[[#This Row],[Unit Price]]</f>
        <v>600000</v>
      </c>
      <c r="M10" s="4">
        <v>7.0000000000000007E-2</v>
      </c>
      <c r="N10" s="13">
        <f>Table1[[#This Row],[Gross Sales]]*Table1[[#This Row],[Discount %]]</f>
        <v>42000.000000000007</v>
      </c>
      <c r="O10" s="13">
        <f>Table1[[#This Row],[Gross Sales]]-Table1[[#This Row],[Discount Amount]]</f>
        <v>558000</v>
      </c>
      <c r="P10" s="16">
        <v>85000</v>
      </c>
      <c r="Q10" s="13">
        <f>Table1[[#This Row],[Quantity Sold ]]*Table1[[#This Row],[Unit Cost]]</f>
        <v>425000</v>
      </c>
      <c r="R10" s="13">
        <f>Table1[[#This Row],[Revenue]]-Table1[[#This Row],[Total Cost]]</f>
        <v>133000</v>
      </c>
      <c r="S10" s="2" t="s">
        <v>15</v>
      </c>
      <c r="T10" s="2" t="s">
        <v>16</v>
      </c>
      <c r="U10" s="2" t="str">
        <f>IF(Table1[[#This Row],[Revenue]]&gt;=1000000,"High Value","Standard")</f>
        <v>Standard</v>
      </c>
      <c r="V10" s="2" t="str">
        <f>IF(Table1[[#This Row],[Profit]]&gt;=250000,"High Profit","Standard Profit")</f>
        <v>Standard Profit</v>
      </c>
      <c r="W10" s="2"/>
      <c r="X10" s="18" t="s">
        <v>123</v>
      </c>
      <c r="Y10" s="24">
        <f>SUM(Table1[Profit])</f>
        <v>9367900</v>
      </c>
    </row>
    <row r="11" spans="1:25" x14ac:dyDescent="0.25">
      <c r="A11" s="2" t="s">
        <v>48</v>
      </c>
      <c r="B11" s="6">
        <v>46047</v>
      </c>
      <c r="C11" s="6">
        <v>46052</v>
      </c>
      <c r="D11" s="6" t="str">
        <f>IF(Table1[[#This Row],[Ship Date]]&gt;=Table1[[#This Row],[Order Date]],"Valid","Invalid ship date")</f>
        <v>Valid</v>
      </c>
      <c r="E11" s="2" t="s">
        <v>49</v>
      </c>
      <c r="F11" s="2" t="s">
        <v>109</v>
      </c>
      <c r="G11" s="2" t="s">
        <v>19</v>
      </c>
      <c r="H11" s="2" t="s">
        <v>50</v>
      </c>
      <c r="I11" s="2" t="s">
        <v>35</v>
      </c>
      <c r="J11" s="2">
        <v>20</v>
      </c>
      <c r="K11" s="13">
        <v>18000</v>
      </c>
      <c r="L11" s="13">
        <f>Table1[[#This Row],[Quantity Sold ]]*Table1[[#This Row],[Unit Price]]</f>
        <v>360000</v>
      </c>
      <c r="M11" s="4">
        <v>0</v>
      </c>
      <c r="N11" s="13">
        <f>Table1[[#This Row],[Gross Sales]]*Table1[[#This Row],[Discount %]]</f>
        <v>0</v>
      </c>
      <c r="O11" s="13">
        <f>Table1[[#This Row],[Gross Sales]]-Table1[[#This Row],[Discount Amount]]</f>
        <v>360000</v>
      </c>
      <c r="P11" s="16">
        <v>10000</v>
      </c>
      <c r="Q11" s="13">
        <f>Table1[[#This Row],[Quantity Sold ]]*Table1[[#This Row],[Unit Cost]]</f>
        <v>200000</v>
      </c>
      <c r="R11" s="13">
        <f>Table1[[#This Row],[Revenue]]-Table1[[#This Row],[Total Cost]]</f>
        <v>160000</v>
      </c>
      <c r="S11" s="2" t="s">
        <v>15</v>
      </c>
      <c r="T11" s="2" t="s">
        <v>28</v>
      </c>
      <c r="U11" s="2" t="str">
        <f>IF(Table1[[#This Row],[Revenue]]&gt;=1000000,"High Value","Standard")</f>
        <v>Standard</v>
      </c>
      <c r="V11" s="2" t="str">
        <f>IF(Table1[[#This Row],[Profit]]&gt;=250000,"High Profit","Standard Profit")</f>
        <v>Standard Profit</v>
      </c>
      <c r="W11" s="2"/>
      <c r="X11" s="18" t="s">
        <v>124</v>
      </c>
      <c r="Y11" s="24">
        <f>MAX(Table1[Profit])</f>
        <v>343800</v>
      </c>
    </row>
    <row r="12" spans="1:25" x14ac:dyDescent="0.25">
      <c r="A12" s="2" t="s">
        <v>51</v>
      </c>
      <c r="B12" s="6">
        <v>46050</v>
      </c>
      <c r="C12" s="6">
        <v>46051</v>
      </c>
      <c r="D12" s="6" t="str">
        <f>IF(Table1[[#This Row],[Ship Date]]&gt;=Table1[[#This Row],[Order Date]],"Valid","Invalid ship date")</f>
        <v>Valid</v>
      </c>
      <c r="E12" s="2" t="s">
        <v>11</v>
      </c>
      <c r="F12" s="2" t="s">
        <v>89</v>
      </c>
      <c r="G12" s="2" t="s">
        <v>12</v>
      </c>
      <c r="H12" s="2" t="s">
        <v>27</v>
      </c>
      <c r="I12" s="2" t="s">
        <v>14</v>
      </c>
      <c r="J12" s="2">
        <v>3</v>
      </c>
      <c r="K12" s="13">
        <v>175000</v>
      </c>
      <c r="L12" s="13">
        <f>Table1[[#This Row],[Quantity Sold ]]*Table1[[#This Row],[Unit Price]]</f>
        <v>525000</v>
      </c>
      <c r="M12" s="4">
        <v>0.05</v>
      </c>
      <c r="N12" s="13">
        <f>Table1[[#This Row],[Gross Sales]]*Table1[[#This Row],[Discount %]]</f>
        <v>26250</v>
      </c>
      <c r="O12" s="13">
        <f>Table1[[#This Row],[Gross Sales]]-Table1[[#This Row],[Discount Amount]]</f>
        <v>498750</v>
      </c>
      <c r="P12" s="16">
        <v>130000</v>
      </c>
      <c r="Q12" s="13">
        <f>Table1[[#This Row],[Quantity Sold ]]*Table1[[#This Row],[Unit Cost]]</f>
        <v>390000</v>
      </c>
      <c r="R12" s="13">
        <f>Table1[[#This Row],[Revenue]]-Table1[[#This Row],[Total Cost]]</f>
        <v>108750</v>
      </c>
      <c r="S12" s="2" t="s">
        <v>22</v>
      </c>
      <c r="T12" s="2" t="s">
        <v>23</v>
      </c>
      <c r="U12" s="2" t="str">
        <f>IF(Table1[[#This Row],[Revenue]]&gt;=1000000,"High Value","Standard")</f>
        <v>Standard</v>
      </c>
      <c r="V12" s="2" t="str">
        <f>IF(Table1[[#This Row],[Profit]]&gt;=250000,"High Profit","Standard Profit")</f>
        <v>Standard Profit</v>
      </c>
      <c r="W12" s="2"/>
      <c r="X12" s="18" t="s">
        <v>125</v>
      </c>
      <c r="Y12" s="24">
        <f>MIN(Table1[Profit])</f>
        <v>72000</v>
      </c>
    </row>
    <row r="13" spans="1:25" x14ac:dyDescent="0.25">
      <c r="A13" s="2" t="s">
        <v>52</v>
      </c>
      <c r="B13" s="6">
        <v>46055</v>
      </c>
      <c r="C13" s="6">
        <v>46056</v>
      </c>
      <c r="D13" s="6" t="str">
        <f>IF(Table1[[#This Row],[Ship Date]]&gt;=Table1[[#This Row],[Order Date]],"Valid","Invalid ship date")</f>
        <v>Valid</v>
      </c>
      <c r="E13" s="2" t="s">
        <v>18</v>
      </c>
      <c r="F13" s="2" t="s">
        <v>91</v>
      </c>
      <c r="G13" s="2" t="s">
        <v>19</v>
      </c>
      <c r="H13" s="2" t="s">
        <v>38</v>
      </c>
      <c r="I13" s="2" t="s">
        <v>14</v>
      </c>
      <c r="J13" s="2">
        <v>5</v>
      </c>
      <c r="K13" s="13">
        <v>210000</v>
      </c>
      <c r="L13" s="13">
        <f>Table1[[#This Row],[Quantity Sold ]]*Table1[[#This Row],[Unit Price]]</f>
        <v>1050000</v>
      </c>
      <c r="M13" s="4">
        <v>0.1</v>
      </c>
      <c r="N13" s="13">
        <f>Table1[[#This Row],[Gross Sales]]*Table1[[#This Row],[Discount %]]</f>
        <v>105000</v>
      </c>
      <c r="O13" s="13">
        <f>Table1[[#This Row],[Gross Sales]]-Table1[[#This Row],[Discount Amount]]</f>
        <v>945000</v>
      </c>
      <c r="P13" s="16">
        <v>155000</v>
      </c>
      <c r="Q13" s="13">
        <f>Table1[[#This Row],[Quantity Sold ]]*Table1[[#This Row],[Unit Cost]]</f>
        <v>775000</v>
      </c>
      <c r="R13" s="13">
        <f>Table1[[#This Row],[Revenue]]-Table1[[#This Row],[Total Cost]]</f>
        <v>170000</v>
      </c>
      <c r="S13" s="2" t="s">
        <v>15</v>
      </c>
      <c r="T13" s="2" t="s">
        <v>16</v>
      </c>
      <c r="U13" s="2" t="str">
        <f>IF(Table1[[#This Row],[Revenue]]&gt;=1000000,"High Value","Standard")</f>
        <v>Standard</v>
      </c>
      <c r="V13" s="2" t="str">
        <f>IF(Table1[[#This Row],[Profit]]&gt;=250000,"High Profit","Standard Profit")</f>
        <v>Standard Profit</v>
      </c>
      <c r="W13" s="2"/>
      <c r="X13" s="18" t="s">
        <v>126</v>
      </c>
      <c r="Y13" s="25">
        <f>SUM(Table1[[Quantity Sold ]])</f>
        <v>591</v>
      </c>
    </row>
    <row r="14" spans="1:25" x14ac:dyDescent="0.25">
      <c r="A14" s="2" t="s">
        <v>53</v>
      </c>
      <c r="B14" s="6">
        <v>46057</v>
      </c>
      <c r="C14" s="6">
        <v>46075</v>
      </c>
      <c r="D14" s="6" t="str">
        <f>IF(Table1[[#This Row],[Ship Date]]&gt;=Table1[[#This Row],[Order Date]],"Valid","Invalid ship date")</f>
        <v>Valid</v>
      </c>
      <c r="E14" s="2" t="s">
        <v>25</v>
      </c>
      <c r="F14" s="2" t="s">
        <v>108</v>
      </c>
      <c r="G14" s="2" t="s">
        <v>26</v>
      </c>
      <c r="H14" s="2" t="s">
        <v>20</v>
      </c>
      <c r="I14" s="2" t="s">
        <v>21</v>
      </c>
      <c r="J14" s="2">
        <v>10</v>
      </c>
      <c r="K14" s="13">
        <v>85000</v>
      </c>
      <c r="L14" s="13">
        <f>Table1[[#This Row],[Quantity Sold ]]*Table1[[#This Row],[Unit Price]]</f>
        <v>850000</v>
      </c>
      <c r="M14" s="4">
        <v>0.05</v>
      </c>
      <c r="N14" s="13">
        <f>Table1[[#This Row],[Gross Sales]]*Table1[[#This Row],[Discount %]]</f>
        <v>42500</v>
      </c>
      <c r="O14" s="13">
        <f>Table1[[#This Row],[Gross Sales]]-Table1[[#This Row],[Discount Amount]]</f>
        <v>807500</v>
      </c>
      <c r="P14" s="16">
        <v>60000</v>
      </c>
      <c r="Q14" s="13">
        <f>Table1[[#This Row],[Quantity Sold ]]*Table1[[#This Row],[Unit Cost]]</f>
        <v>600000</v>
      </c>
      <c r="R14" s="13">
        <f>Table1[[#This Row],[Revenue]]-Table1[[#This Row],[Total Cost]]</f>
        <v>207500</v>
      </c>
      <c r="S14" s="2" t="s">
        <v>22</v>
      </c>
      <c r="T14" s="2" t="s">
        <v>23</v>
      </c>
      <c r="U14" s="2" t="str">
        <f>IF(Table1[[#This Row],[Revenue]]&gt;=1000000,"High Value","Standard")</f>
        <v>Standard</v>
      </c>
      <c r="V14" s="2" t="str">
        <f>IF(Table1[[#This Row],[Profit]]&gt;=250000,"High Profit","Standard Profit")</f>
        <v>Standard Profit</v>
      </c>
      <c r="W14" s="2"/>
      <c r="X14" s="18" t="s">
        <v>127</v>
      </c>
      <c r="Y14" s="25">
        <f>COUNTA(Table1[Order ID])</f>
        <v>49</v>
      </c>
    </row>
    <row r="15" spans="1:25" x14ac:dyDescent="0.25">
      <c r="A15" s="2" t="s">
        <v>54</v>
      </c>
      <c r="B15" s="6">
        <v>46060</v>
      </c>
      <c r="C15" s="6">
        <v>46061</v>
      </c>
      <c r="D15" s="6" t="str">
        <f>IF(Table1[[#This Row],[Ship Date]]&gt;=Table1[[#This Row],[Order Date]],"Valid","Invalid ship date")</f>
        <v>Valid</v>
      </c>
      <c r="E15" s="2" t="s">
        <v>29</v>
      </c>
      <c r="F15" s="2" t="s">
        <v>89</v>
      </c>
      <c r="G15" s="2" t="s">
        <v>12</v>
      </c>
      <c r="H15" s="2" t="s">
        <v>34</v>
      </c>
      <c r="I15" s="2" t="s">
        <v>35</v>
      </c>
      <c r="J15" s="2">
        <v>18</v>
      </c>
      <c r="K15" s="13">
        <v>35000</v>
      </c>
      <c r="L15" s="13">
        <f>Table1[[#This Row],[Quantity Sold ]]*Table1[[#This Row],[Unit Price]]</f>
        <v>630000</v>
      </c>
      <c r="M15" s="4">
        <v>0.08</v>
      </c>
      <c r="N15" s="13">
        <f>Table1[[#This Row],[Gross Sales]]*Table1[[#This Row],[Discount %]]</f>
        <v>50400</v>
      </c>
      <c r="O15" s="13">
        <f>Table1[[#This Row],[Gross Sales]]-Table1[[#This Row],[Discount Amount]]</f>
        <v>579600</v>
      </c>
      <c r="P15" s="16">
        <v>22000</v>
      </c>
      <c r="Q15" s="13">
        <f>Table1[[#This Row],[Quantity Sold ]]*Table1[[#This Row],[Unit Cost]]</f>
        <v>396000</v>
      </c>
      <c r="R15" s="13">
        <f>Table1[[#This Row],[Revenue]]-Table1[[#This Row],[Total Cost]]</f>
        <v>183600</v>
      </c>
      <c r="S15" s="2" t="s">
        <v>15</v>
      </c>
      <c r="T15" s="2" t="s">
        <v>16</v>
      </c>
      <c r="U15" s="2" t="str">
        <f>IF(Table1[[#This Row],[Revenue]]&gt;=1000000,"High Value","Standard")</f>
        <v>Standard</v>
      </c>
      <c r="V15" s="2" t="str">
        <f>IF(Table1[[#This Row],[Profit]]&gt;=250000,"High Profit","Standard Profit")</f>
        <v>Standard Profit</v>
      </c>
      <c r="W15" s="2"/>
    </row>
    <row r="16" spans="1:25" x14ac:dyDescent="0.25">
      <c r="A16" s="2" t="s">
        <v>55</v>
      </c>
      <c r="B16" s="6">
        <v>46062</v>
      </c>
      <c r="C16" s="6">
        <v>46064</v>
      </c>
      <c r="D16" s="6" t="str">
        <f>IF(Table1[[#This Row],[Ship Date]]&gt;=Table1[[#This Row],[Order Date]],"Valid","Invalid ship date")</f>
        <v>Valid</v>
      </c>
      <c r="E16" s="2" t="s">
        <v>32</v>
      </c>
      <c r="F16" s="2" t="s">
        <v>93</v>
      </c>
      <c r="G16" s="8" t="s">
        <v>33</v>
      </c>
      <c r="H16" s="2" t="s">
        <v>13</v>
      </c>
      <c r="I16" s="2" t="s">
        <v>14</v>
      </c>
      <c r="J16" s="2">
        <v>4</v>
      </c>
      <c r="K16" s="13">
        <v>450000</v>
      </c>
      <c r="L16" s="13">
        <f>Table1[[#This Row],[Quantity Sold ]]*Table1[[#This Row],[Unit Price]]</f>
        <v>1800000</v>
      </c>
      <c r="M16" s="4">
        <v>0.15</v>
      </c>
      <c r="N16" s="13">
        <f>Table1[[#This Row],[Gross Sales]]*Table1[[#This Row],[Discount %]]</f>
        <v>270000</v>
      </c>
      <c r="O16" s="13">
        <f>Table1[[#This Row],[Gross Sales]]-Table1[[#This Row],[Discount Amount]]</f>
        <v>1530000</v>
      </c>
      <c r="P16" s="16">
        <v>360000</v>
      </c>
      <c r="Q16" s="13">
        <f>Table1[[#This Row],[Quantity Sold ]]*Table1[[#This Row],[Unit Cost]]</f>
        <v>1440000</v>
      </c>
      <c r="R16" s="13">
        <f>Table1[[#This Row],[Revenue]]-Table1[[#This Row],[Total Cost]]</f>
        <v>90000</v>
      </c>
      <c r="S16" s="2" t="s">
        <v>22</v>
      </c>
      <c r="T16" s="2" t="s">
        <v>23</v>
      </c>
      <c r="U16" s="2" t="str">
        <f>IF(Table1[[#This Row],[Revenue]]&gt;=1000000,"High Value","Standard")</f>
        <v>High Value</v>
      </c>
      <c r="V16" s="2" t="str">
        <f>IF(Table1[[#This Row],[Profit]]&gt;=250000,"High Profit","Standard Profit")</f>
        <v>Standard Profit</v>
      </c>
      <c r="W16" s="2"/>
    </row>
    <row r="17" spans="1:24" x14ac:dyDescent="0.25">
      <c r="A17" s="2" t="s">
        <v>56</v>
      </c>
      <c r="B17" s="6">
        <v>46064</v>
      </c>
      <c r="C17" s="6">
        <v>46068</v>
      </c>
      <c r="D17" s="6" t="str">
        <f>IF(Table1[[#This Row],[Ship Date]]&gt;=Table1[[#This Row],[Order Date]],"Valid","Invalid ship date")</f>
        <v>Valid</v>
      </c>
      <c r="E17" s="2" t="s">
        <v>36</v>
      </c>
      <c r="F17" s="2" t="s">
        <v>94</v>
      </c>
      <c r="G17" s="2" t="s">
        <v>37</v>
      </c>
      <c r="H17" s="2" t="s">
        <v>42</v>
      </c>
      <c r="I17" s="2" t="s">
        <v>35</v>
      </c>
      <c r="J17" s="2">
        <v>25</v>
      </c>
      <c r="K17" s="13">
        <v>28000</v>
      </c>
      <c r="L17" s="13">
        <f>Table1[[#This Row],[Quantity Sold ]]*Table1[[#This Row],[Unit Price]]</f>
        <v>700000</v>
      </c>
      <c r="M17" s="4">
        <v>0.05</v>
      </c>
      <c r="N17" s="13">
        <f>Table1[[#This Row],[Gross Sales]]*Table1[[#This Row],[Discount %]]</f>
        <v>35000</v>
      </c>
      <c r="O17" s="13">
        <f>Table1[[#This Row],[Gross Sales]]-Table1[[#This Row],[Discount Amount]]</f>
        <v>665000</v>
      </c>
      <c r="P17" s="16">
        <v>18000</v>
      </c>
      <c r="Q17" s="13">
        <f>Table1[[#This Row],[Quantity Sold ]]*Table1[[#This Row],[Unit Cost]]</f>
        <v>450000</v>
      </c>
      <c r="R17" s="13">
        <f>Table1[[#This Row],[Revenue]]-Table1[[#This Row],[Total Cost]]</f>
        <v>215000</v>
      </c>
      <c r="S17" s="2" t="s">
        <v>15</v>
      </c>
      <c r="T17" s="2" t="s">
        <v>28</v>
      </c>
      <c r="U17" s="2" t="str">
        <f>IF(Table1[[#This Row],[Revenue]]&gt;=1000000,"High Value","Standard")</f>
        <v>Standard</v>
      </c>
      <c r="V17" s="2" t="str">
        <f>IF(Table1[[#This Row],[Profit]]&gt;=250000,"High Profit","Standard Profit")</f>
        <v>Standard Profit</v>
      </c>
      <c r="W17" s="2"/>
      <c r="X17" s="27" t="s">
        <v>130</v>
      </c>
    </row>
    <row r="18" spans="1:24" x14ac:dyDescent="0.25">
      <c r="A18" s="2" t="s">
        <v>57</v>
      </c>
      <c r="B18" s="6">
        <v>46067</v>
      </c>
      <c r="C18" s="6">
        <v>46076</v>
      </c>
      <c r="D18" s="6" t="str">
        <f>IF(Table1[[#This Row],[Ship Date]]&gt;=Table1[[#This Row],[Order Date]],"Valid","Invalid ship date")</f>
        <v>Valid</v>
      </c>
      <c r="E18" s="2" t="s">
        <v>40</v>
      </c>
      <c r="F18" s="2" t="s">
        <v>96</v>
      </c>
      <c r="G18" s="2" t="s">
        <v>41</v>
      </c>
      <c r="H18" s="2" t="s">
        <v>30</v>
      </c>
      <c r="I18" s="2" t="s">
        <v>21</v>
      </c>
      <c r="J18" s="2">
        <v>7</v>
      </c>
      <c r="K18" s="13">
        <v>120000</v>
      </c>
      <c r="L18" s="13">
        <f>Table1[[#This Row],[Quantity Sold ]]*Table1[[#This Row],[Unit Price]]</f>
        <v>840000</v>
      </c>
      <c r="M18" s="4">
        <v>0.1</v>
      </c>
      <c r="N18" s="13">
        <f>Table1[[#This Row],[Gross Sales]]*Table1[[#This Row],[Discount %]]</f>
        <v>84000</v>
      </c>
      <c r="O18" s="13">
        <f>Table1[[#This Row],[Gross Sales]]-Table1[[#This Row],[Discount Amount]]</f>
        <v>756000</v>
      </c>
      <c r="P18" s="16">
        <v>85000</v>
      </c>
      <c r="Q18" s="13">
        <f>Table1[[#This Row],[Quantity Sold ]]*Table1[[#This Row],[Unit Cost]]</f>
        <v>595000</v>
      </c>
      <c r="R18" s="13">
        <f>Table1[[#This Row],[Revenue]]-Table1[[#This Row],[Total Cost]]</f>
        <v>161000</v>
      </c>
      <c r="S18" s="2" t="s">
        <v>22</v>
      </c>
      <c r="T18" s="2" t="s">
        <v>16</v>
      </c>
      <c r="U18" s="2" t="str">
        <f>IF(Table1[[#This Row],[Revenue]]&gt;=1000000,"High Value","Standard")</f>
        <v>Standard</v>
      </c>
      <c r="V18" s="2" t="str">
        <f>IF(Table1[[#This Row],[Profit]]&gt;=250000,"High Profit","Standard Profit")</f>
        <v>Standard Profit</v>
      </c>
      <c r="W18" s="2"/>
      <c r="X18" s="24">
        <f>SUMIF(Table1[Category],I2,Table1[Revenue])</f>
        <v>23784550</v>
      </c>
    </row>
    <row r="19" spans="1:24" x14ac:dyDescent="0.25">
      <c r="A19" s="2" t="s">
        <v>58</v>
      </c>
      <c r="B19" s="6">
        <v>46070</v>
      </c>
      <c r="C19" s="6">
        <v>46071</v>
      </c>
      <c r="D19" s="6" t="str">
        <f>IF(Table1[[#This Row],[Ship Date]]&gt;=Table1[[#This Row],[Order Date]],"Valid","Invalid ship date")</f>
        <v>Valid</v>
      </c>
      <c r="E19" s="2" t="s">
        <v>44</v>
      </c>
      <c r="F19" s="2" t="s">
        <v>89</v>
      </c>
      <c r="G19" s="2" t="s">
        <v>12</v>
      </c>
      <c r="H19" s="2" t="s">
        <v>50</v>
      </c>
      <c r="I19" s="2" t="s">
        <v>35</v>
      </c>
      <c r="J19" s="2">
        <v>30</v>
      </c>
      <c r="K19" s="13">
        <v>18000</v>
      </c>
      <c r="L19" s="13">
        <f>Table1[[#This Row],[Quantity Sold ]]*Table1[[#This Row],[Unit Price]]</f>
        <v>540000</v>
      </c>
      <c r="M19" s="4">
        <v>0.03</v>
      </c>
      <c r="N19" s="13">
        <f>Table1[[#This Row],[Gross Sales]]*Table1[[#This Row],[Discount %]]</f>
        <v>16200</v>
      </c>
      <c r="O19" s="13">
        <f>Table1[[#This Row],[Gross Sales]]-Table1[[#This Row],[Discount Amount]]</f>
        <v>523800</v>
      </c>
      <c r="P19" s="16">
        <v>10000</v>
      </c>
      <c r="Q19" s="13">
        <f>Table1[[#This Row],[Quantity Sold ]]*Table1[[#This Row],[Unit Cost]]</f>
        <v>300000</v>
      </c>
      <c r="R19" s="13">
        <f>Table1[[#This Row],[Revenue]]-Table1[[#This Row],[Total Cost]]</f>
        <v>223800</v>
      </c>
      <c r="S19" s="2" t="s">
        <v>15</v>
      </c>
      <c r="T19" s="2" t="s">
        <v>23</v>
      </c>
      <c r="U19" s="2" t="str">
        <f>IF(Table1[[#This Row],[Revenue]]&gt;=1000000,"High Value","Standard")</f>
        <v>Standard</v>
      </c>
      <c r="V19" s="2" t="str">
        <f>IF(Table1[[#This Row],[Profit]]&gt;=250000,"High Profit","Standard Profit")</f>
        <v>Standard Profit</v>
      </c>
      <c r="W19" s="2"/>
    </row>
    <row r="20" spans="1:24" x14ac:dyDescent="0.25">
      <c r="A20" s="2" t="s">
        <v>59</v>
      </c>
      <c r="B20" s="6">
        <v>46073</v>
      </c>
      <c r="C20" s="6">
        <v>46076</v>
      </c>
      <c r="D20" s="6" t="str">
        <f>IF(Table1[[#This Row],[Ship Date]]&gt;=Table1[[#This Row],[Order Date]],"Valid","Invalid ship date")</f>
        <v>Valid</v>
      </c>
      <c r="E20" s="2" t="s">
        <v>46</v>
      </c>
      <c r="F20" s="2" t="s">
        <v>95</v>
      </c>
      <c r="G20" s="2" t="s">
        <v>47</v>
      </c>
      <c r="H20" s="2" t="s">
        <v>27</v>
      </c>
      <c r="I20" s="2" t="s">
        <v>14</v>
      </c>
      <c r="J20" s="2">
        <v>6</v>
      </c>
      <c r="K20" s="13">
        <v>175000</v>
      </c>
      <c r="L20" s="13">
        <f>Table1[[#This Row],[Quantity Sold ]]*Table1[[#This Row],[Unit Price]]</f>
        <v>1050000</v>
      </c>
      <c r="M20" s="4">
        <v>0.08</v>
      </c>
      <c r="N20" s="13">
        <f>Table1[[#This Row],[Gross Sales]]*Table1[[#This Row],[Discount %]]</f>
        <v>84000</v>
      </c>
      <c r="O20" s="13">
        <f>Table1[[#This Row],[Gross Sales]]-Table1[[#This Row],[Discount Amount]]</f>
        <v>966000</v>
      </c>
      <c r="P20" s="16">
        <v>130000</v>
      </c>
      <c r="Q20" s="13">
        <f>Table1[[#This Row],[Quantity Sold ]]*Table1[[#This Row],[Unit Cost]]</f>
        <v>780000</v>
      </c>
      <c r="R20" s="13">
        <f>Table1[[#This Row],[Revenue]]-Table1[[#This Row],[Total Cost]]</f>
        <v>186000</v>
      </c>
      <c r="S20" s="2" t="s">
        <v>22</v>
      </c>
      <c r="T20" s="2" t="s">
        <v>16</v>
      </c>
      <c r="U20" s="2" t="str">
        <f>IF(Table1[[#This Row],[Revenue]]&gt;=1000000,"High Value","Standard")</f>
        <v>Standard</v>
      </c>
      <c r="V20" s="2" t="str">
        <f>IF(Table1[[#This Row],[Profit]]&gt;=250000,"High Profit","Standard Profit")</f>
        <v>Standard Profit</v>
      </c>
      <c r="W20" s="2"/>
    </row>
    <row r="21" spans="1:24" x14ac:dyDescent="0.25">
      <c r="A21" s="2" t="s">
        <v>60</v>
      </c>
      <c r="B21" s="6">
        <v>46076</v>
      </c>
      <c r="C21" s="6">
        <v>46086</v>
      </c>
      <c r="D21" s="6" t="str">
        <f>IF(Table1[[#This Row],[Ship Date]]&gt;=Table1[[#This Row],[Order Date]],"Valid","Invalid ship date")</f>
        <v>Valid</v>
      </c>
      <c r="E21" s="2" t="s">
        <v>49</v>
      </c>
      <c r="F21" s="2" t="s">
        <v>91</v>
      </c>
      <c r="G21" s="2" t="s">
        <v>19</v>
      </c>
      <c r="H21" s="2" t="s">
        <v>38</v>
      </c>
      <c r="I21" s="2" t="s">
        <v>14</v>
      </c>
      <c r="J21" s="2">
        <v>3</v>
      </c>
      <c r="K21" s="13">
        <v>210000</v>
      </c>
      <c r="L21" s="13">
        <f>Table1[[#This Row],[Quantity Sold ]]*Table1[[#This Row],[Unit Price]]</f>
        <v>630000</v>
      </c>
      <c r="M21" s="4">
        <v>0.05</v>
      </c>
      <c r="N21" s="13">
        <f>Table1[[#This Row],[Gross Sales]]*Table1[[#This Row],[Discount %]]</f>
        <v>31500</v>
      </c>
      <c r="O21" s="13">
        <f>Table1[[#This Row],[Gross Sales]]-Table1[[#This Row],[Discount Amount]]</f>
        <v>598500</v>
      </c>
      <c r="P21" s="16">
        <v>155000</v>
      </c>
      <c r="Q21" s="13">
        <f>Table1[[#This Row],[Quantity Sold ]]*Table1[[#This Row],[Unit Cost]]</f>
        <v>465000</v>
      </c>
      <c r="R21" s="13">
        <f>Table1[[#This Row],[Revenue]]-Table1[[#This Row],[Total Cost]]</f>
        <v>133500</v>
      </c>
      <c r="S21" s="2" t="s">
        <v>15</v>
      </c>
      <c r="T21" s="2" t="s">
        <v>28</v>
      </c>
      <c r="U21" s="2" t="str">
        <f>IF(Table1[[#This Row],[Revenue]]&gt;=1000000,"High Value","Standard")</f>
        <v>Standard</v>
      </c>
      <c r="V21" s="2" t="str">
        <f>IF(Table1[[#This Row],[Profit]]&gt;=250000,"High Profit","Standard Profit")</f>
        <v>Standard Profit</v>
      </c>
      <c r="W21" s="2"/>
      <c r="X21" s="26" t="s">
        <v>131</v>
      </c>
    </row>
    <row r="22" spans="1:24" x14ac:dyDescent="0.25">
      <c r="A22" s="2" t="s">
        <v>61</v>
      </c>
      <c r="B22" s="6">
        <v>46080</v>
      </c>
      <c r="C22" s="6">
        <v>46086</v>
      </c>
      <c r="D22" s="6" t="str">
        <f>IF(Table1[[#This Row],[Ship Date]]&gt;=Table1[[#This Row],[Order Date]],"Valid","Invalid ship date")</f>
        <v>Valid</v>
      </c>
      <c r="E22" s="2" t="s">
        <v>11</v>
      </c>
      <c r="F22" s="2" t="s">
        <v>89</v>
      </c>
      <c r="G22" s="2" t="s">
        <v>12</v>
      </c>
      <c r="H22" s="2" t="s">
        <v>20</v>
      </c>
      <c r="I22" s="2" t="s">
        <v>21</v>
      </c>
      <c r="J22" s="2">
        <v>12</v>
      </c>
      <c r="K22" s="13">
        <v>85000</v>
      </c>
      <c r="L22" s="13">
        <f>Table1[[#This Row],[Quantity Sold ]]*Table1[[#This Row],[Unit Price]]</f>
        <v>1020000</v>
      </c>
      <c r="M22" s="4">
        <v>7.0000000000000007E-2</v>
      </c>
      <c r="N22" s="13">
        <f>Table1[[#This Row],[Gross Sales]]*Table1[[#This Row],[Discount %]]</f>
        <v>71400</v>
      </c>
      <c r="O22" s="13">
        <f>Table1[[#This Row],[Gross Sales]]-Table1[[#This Row],[Discount Amount]]</f>
        <v>948600</v>
      </c>
      <c r="P22" s="16">
        <v>60000</v>
      </c>
      <c r="Q22" s="13">
        <f>Table1[[#This Row],[Quantity Sold ]]*Table1[[#This Row],[Unit Cost]]</f>
        <v>720000</v>
      </c>
      <c r="R22" s="13">
        <f>Table1[[#This Row],[Revenue]]-Table1[[#This Row],[Total Cost]]</f>
        <v>228600</v>
      </c>
      <c r="S22" s="2" t="s">
        <v>22</v>
      </c>
      <c r="T22" s="2" t="s">
        <v>23</v>
      </c>
      <c r="U22" s="2" t="str">
        <f>IF(Table1[[#This Row],[Revenue]]&gt;=1000000,"High Value","Standard")</f>
        <v>Standard</v>
      </c>
      <c r="V22" s="2" t="str">
        <f>IF(Table1[[#This Row],[Profit]]&gt;=250000,"High Profit","Standard Profit")</f>
        <v>Standard Profit</v>
      </c>
      <c r="W22" s="2"/>
      <c r="X22" s="24">
        <f>SUMIF(Table1[City],G2,Table1[Revenue])</f>
        <v>14555450</v>
      </c>
    </row>
    <row r="23" spans="1:24" x14ac:dyDescent="0.25">
      <c r="A23" s="2" t="s">
        <v>62</v>
      </c>
      <c r="B23" s="6">
        <v>46083</v>
      </c>
      <c r="C23" s="6">
        <v>46084</v>
      </c>
      <c r="D23" s="6" t="str">
        <f>IF(Table1[[#This Row],[Ship Date]]&gt;=Table1[[#This Row],[Order Date]],"Valid","Invalid ship date")</f>
        <v>Valid</v>
      </c>
      <c r="E23" s="2" t="s">
        <v>18</v>
      </c>
      <c r="F23" s="2" t="s">
        <v>91</v>
      </c>
      <c r="G23" s="2" t="s">
        <v>19</v>
      </c>
      <c r="H23" s="2" t="s">
        <v>13</v>
      </c>
      <c r="I23" s="2" t="s">
        <v>14</v>
      </c>
      <c r="J23" s="2">
        <v>5</v>
      </c>
      <c r="K23" s="13">
        <v>450000</v>
      </c>
      <c r="L23" s="13">
        <f>Table1[[#This Row],[Quantity Sold ]]*Table1[[#This Row],[Unit Price]]</f>
        <v>2250000</v>
      </c>
      <c r="M23" s="4">
        <v>0.1</v>
      </c>
      <c r="N23" s="13">
        <f>Table1[[#This Row],[Gross Sales]]*Table1[[#This Row],[Discount %]]</f>
        <v>225000</v>
      </c>
      <c r="O23" s="13">
        <f>Table1[[#This Row],[Gross Sales]]-Table1[[#This Row],[Discount Amount]]</f>
        <v>2025000</v>
      </c>
      <c r="P23" s="16">
        <v>360000</v>
      </c>
      <c r="Q23" s="13">
        <f>Table1[[#This Row],[Quantity Sold ]]*Table1[[#This Row],[Unit Cost]]</f>
        <v>1800000</v>
      </c>
      <c r="R23" s="13">
        <f>Table1[[#This Row],[Revenue]]-Table1[[#This Row],[Total Cost]]</f>
        <v>225000</v>
      </c>
      <c r="S23" s="2" t="s">
        <v>15</v>
      </c>
      <c r="T23" s="2" t="s">
        <v>16</v>
      </c>
      <c r="U23" s="2" t="str">
        <f>IF(Table1[[#This Row],[Revenue]]&gt;=1000000,"High Value","Standard")</f>
        <v>High Value</v>
      </c>
      <c r="V23" s="2" t="str">
        <f>IF(Table1[[#This Row],[Profit]]&gt;=250000,"High Profit","Standard Profit")</f>
        <v>Standard Profit</v>
      </c>
      <c r="W23" s="2"/>
    </row>
    <row r="24" spans="1:24" x14ac:dyDescent="0.25">
      <c r="A24" s="2" t="s">
        <v>110</v>
      </c>
      <c r="B24" s="6">
        <v>46086</v>
      </c>
      <c r="C24" s="6">
        <v>46098</v>
      </c>
      <c r="D24" s="6" t="str">
        <f>IF(Table1[[#This Row],[Ship Date]]&gt;=Table1[[#This Row],[Order Date]],"Valid","Invalid ship date")</f>
        <v>Valid</v>
      </c>
      <c r="E24" s="2" t="s">
        <v>25</v>
      </c>
      <c r="F24" s="2" t="s">
        <v>92</v>
      </c>
      <c r="G24" s="2" t="s">
        <v>26</v>
      </c>
      <c r="H24" s="2" t="s">
        <v>34</v>
      </c>
      <c r="I24" s="2" t="s">
        <v>35</v>
      </c>
      <c r="J24" s="2">
        <v>20</v>
      </c>
      <c r="K24" s="13">
        <v>35000</v>
      </c>
      <c r="L24" s="13">
        <f>Table1[[#This Row],[Quantity Sold ]]*Table1[[#This Row],[Unit Price]]</f>
        <v>700000</v>
      </c>
      <c r="M24" s="4">
        <v>0.05</v>
      </c>
      <c r="N24" s="13">
        <f>Table1[[#This Row],[Gross Sales]]*Table1[[#This Row],[Discount %]]</f>
        <v>35000</v>
      </c>
      <c r="O24" s="13">
        <f>Table1[[#This Row],[Gross Sales]]-Table1[[#This Row],[Discount Amount]]</f>
        <v>665000</v>
      </c>
      <c r="P24" s="16">
        <v>22000</v>
      </c>
      <c r="Q24" s="13">
        <f>Table1[[#This Row],[Quantity Sold ]]*Table1[[#This Row],[Unit Cost]]</f>
        <v>440000</v>
      </c>
      <c r="R24" s="13">
        <f>Table1[[#This Row],[Revenue]]-Table1[[#This Row],[Total Cost]]</f>
        <v>225000</v>
      </c>
      <c r="S24" s="2" t="s">
        <v>15</v>
      </c>
      <c r="T24" s="2" t="s">
        <v>28</v>
      </c>
      <c r="U24" s="2" t="str">
        <f>IF(Table1[[#This Row],[Revenue]]&gt;=1000000,"High Value","Standard")</f>
        <v>Standard</v>
      </c>
      <c r="V24" s="2" t="str">
        <f>IF(Table1[[#This Row],[Profit]]&gt;=250000,"High Profit","Standard Profit")</f>
        <v>Standard Profit</v>
      </c>
      <c r="W24" s="2"/>
    </row>
    <row r="25" spans="1:24" x14ac:dyDescent="0.25">
      <c r="A25" s="2" t="s">
        <v>63</v>
      </c>
      <c r="B25" s="6">
        <v>46089</v>
      </c>
      <c r="C25" s="6">
        <v>46098</v>
      </c>
      <c r="D25" s="6" t="str">
        <f>IF(Table1[[#This Row],[Ship Date]]&gt;=Table1[[#This Row],[Order Date]],"Valid","Invalid ship date")</f>
        <v>Valid</v>
      </c>
      <c r="E25" s="2" t="s">
        <v>29</v>
      </c>
      <c r="F25" s="2" t="s">
        <v>89</v>
      </c>
      <c r="G25" s="2" t="s">
        <v>12</v>
      </c>
      <c r="H25" s="2" t="s">
        <v>42</v>
      </c>
      <c r="I25" s="2" t="s">
        <v>35</v>
      </c>
      <c r="J25" s="2">
        <v>16</v>
      </c>
      <c r="K25" s="13">
        <v>28000</v>
      </c>
      <c r="L25" s="13">
        <f>Table1[[#This Row],[Quantity Sold ]]*Table1[[#This Row],[Unit Price]]</f>
        <v>448000</v>
      </c>
      <c r="M25" s="4">
        <v>0</v>
      </c>
      <c r="N25" s="13">
        <f>Table1[[#This Row],[Gross Sales]]*Table1[[#This Row],[Discount %]]</f>
        <v>0</v>
      </c>
      <c r="O25" s="13">
        <f>Table1[[#This Row],[Gross Sales]]-Table1[[#This Row],[Discount Amount]]</f>
        <v>448000</v>
      </c>
      <c r="P25" s="16">
        <v>18000</v>
      </c>
      <c r="Q25" s="13">
        <f>Table1[[#This Row],[Quantity Sold ]]*Table1[[#This Row],[Unit Cost]]</f>
        <v>288000</v>
      </c>
      <c r="R25" s="13">
        <f>Table1[[#This Row],[Revenue]]-Table1[[#This Row],[Total Cost]]</f>
        <v>160000</v>
      </c>
      <c r="S25" s="2" t="s">
        <v>22</v>
      </c>
      <c r="T25" s="2" t="s">
        <v>23</v>
      </c>
      <c r="U25" s="2" t="str">
        <f>IF(Table1[[#This Row],[Revenue]]&gt;=1000000,"High Value","Standard")</f>
        <v>Standard</v>
      </c>
      <c r="V25" s="2" t="str">
        <f>IF(Table1[[#This Row],[Profit]]&gt;=250000,"High Profit","Standard Profit")</f>
        <v>Standard Profit</v>
      </c>
      <c r="W25" s="2"/>
      <c r="X25" s="27" t="s">
        <v>132</v>
      </c>
    </row>
    <row r="26" spans="1:24" x14ac:dyDescent="0.25">
      <c r="A26" s="2" t="s">
        <v>64</v>
      </c>
      <c r="B26" s="6">
        <v>46092</v>
      </c>
      <c r="C26" s="6">
        <v>46098</v>
      </c>
      <c r="D26" s="6" t="str">
        <f>IF(Table1[[#This Row],[Ship Date]]&gt;=Table1[[#This Row],[Order Date]],"Valid","Invalid ship date")</f>
        <v>Valid</v>
      </c>
      <c r="E26" s="2" t="s">
        <v>32</v>
      </c>
      <c r="F26" s="2" t="s">
        <v>93</v>
      </c>
      <c r="G26" s="8" t="s">
        <v>33</v>
      </c>
      <c r="H26" s="2" t="s">
        <v>30</v>
      </c>
      <c r="I26" s="2" t="s">
        <v>21</v>
      </c>
      <c r="J26" s="2">
        <v>9</v>
      </c>
      <c r="K26" s="13">
        <v>120000</v>
      </c>
      <c r="L26" s="13">
        <f>Table1[[#This Row],[Quantity Sold ]]*Table1[[#This Row],[Unit Price]]</f>
        <v>1080000</v>
      </c>
      <c r="M26" s="4">
        <v>0.12</v>
      </c>
      <c r="N26" s="13">
        <f>Table1[[#This Row],[Gross Sales]]*Table1[[#This Row],[Discount %]]</f>
        <v>129600</v>
      </c>
      <c r="O26" s="13">
        <f>Table1[[#This Row],[Gross Sales]]-Table1[[#This Row],[Discount Amount]]</f>
        <v>950400</v>
      </c>
      <c r="P26" s="16">
        <v>85000</v>
      </c>
      <c r="Q26" s="13">
        <f>Table1[[#This Row],[Quantity Sold ]]*Table1[[#This Row],[Unit Cost]]</f>
        <v>765000</v>
      </c>
      <c r="R26" s="13">
        <f>Table1[[#This Row],[Revenue]]-Table1[[#This Row],[Total Cost]]</f>
        <v>185400</v>
      </c>
      <c r="S26" s="2" t="s">
        <v>22</v>
      </c>
      <c r="T26" s="2" t="s">
        <v>16</v>
      </c>
      <c r="U26" s="2" t="str">
        <f>IF(Table1[[#This Row],[Revenue]]&gt;=1000000,"High Value","Standard")</f>
        <v>Standard</v>
      </c>
      <c r="V26" s="2" t="str">
        <f>IF(Table1[[#This Row],[Profit]]&gt;=250000,"High Profit","Standard Profit")</f>
        <v>Standard Profit</v>
      </c>
      <c r="W26" s="2"/>
      <c r="X26" s="25">
        <f>COUNTIF(Table1[Payment Method],T2)</f>
        <v>18</v>
      </c>
    </row>
    <row r="27" spans="1:24" x14ac:dyDescent="0.25">
      <c r="A27" s="2" t="s">
        <v>65</v>
      </c>
      <c r="B27" s="6">
        <v>46095</v>
      </c>
      <c r="C27" s="6">
        <v>46096</v>
      </c>
      <c r="D27" s="6" t="str">
        <f>IF(Table1[[#This Row],[Ship Date]]&gt;=Table1[[#This Row],[Order Date]],"Valid","Invalid ship date")</f>
        <v>Valid</v>
      </c>
      <c r="E27" s="2" t="s">
        <v>36</v>
      </c>
      <c r="F27" s="2" t="s">
        <v>94</v>
      </c>
      <c r="G27" s="2" t="s">
        <v>37</v>
      </c>
      <c r="H27" s="2" t="s">
        <v>50</v>
      </c>
      <c r="I27" s="2" t="s">
        <v>35</v>
      </c>
      <c r="J27" s="2">
        <v>35</v>
      </c>
      <c r="K27" s="13">
        <v>18000</v>
      </c>
      <c r="L27" s="13">
        <f>Table1[[#This Row],[Quantity Sold ]]*Table1[[#This Row],[Unit Price]]</f>
        <v>630000</v>
      </c>
      <c r="M27" s="4">
        <v>0.05</v>
      </c>
      <c r="N27" s="13">
        <f>Table1[[#This Row],[Gross Sales]]*Table1[[#This Row],[Discount %]]</f>
        <v>31500</v>
      </c>
      <c r="O27" s="13">
        <f>Table1[[#This Row],[Gross Sales]]-Table1[[#This Row],[Discount Amount]]</f>
        <v>598500</v>
      </c>
      <c r="P27" s="16">
        <v>10000</v>
      </c>
      <c r="Q27" s="13">
        <f>Table1[[#This Row],[Quantity Sold ]]*Table1[[#This Row],[Unit Cost]]</f>
        <v>350000</v>
      </c>
      <c r="R27" s="13">
        <f>Table1[[#This Row],[Revenue]]-Table1[[#This Row],[Total Cost]]</f>
        <v>248500</v>
      </c>
      <c r="S27" s="2" t="s">
        <v>15</v>
      </c>
      <c r="T27" s="2" t="s">
        <v>28</v>
      </c>
      <c r="U27" s="2" t="str">
        <f>IF(Table1[[#This Row],[Revenue]]&gt;=1000000,"High Value","Standard")</f>
        <v>Standard</v>
      </c>
      <c r="V27" s="2" t="str">
        <f>IF(Table1[[#This Row],[Profit]]&gt;=250000,"High Profit","Standard Profit")</f>
        <v>Standard Profit</v>
      </c>
      <c r="W27" s="2"/>
    </row>
    <row r="28" spans="1:24" x14ac:dyDescent="0.25">
      <c r="A28" s="2" t="s">
        <v>66</v>
      </c>
      <c r="B28" s="6">
        <v>46098</v>
      </c>
      <c r="C28" s="6">
        <v>46099</v>
      </c>
      <c r="D28" s="6" t="str">
        <f>IF(Table1[[#This Row],[Ship Date]]&gt;=Table1[[#This Row],[Order Date]],"Valid","Invalid ship date")</f>
        <v>Valid</v>
      </c>
      <c r="E28" s="2" t="s">
        <v>40</v>
      </c>
      <c r="F28" s="2" t="s">
        <v>96</v>
      </c>
      <c r="G28" s="2" t="s">
        <v>41</v>
      </c>
      <c r="H28" s="2" t="s">
        <v>27</v>
      </c>
      <c r="I28" s="2" t="s">
        <v>14</v>
      </c>
      <c r="J28" s="2">
        <v>2</v>
      </c>
      <c r="K28" s="13">
        <v>175000</v>
      </c>
      <c r="L28" s="13">
        <f>Table1[[#This Row],[Quantity Sold ]]*Table1[[#This Row],[Unit Price]]</f>
        <v>350000</v>
      </c>
      <c r="M28" s="4">
        <v>0</v>
      </c>
      <c r="N28" s="13">
        <f>Table1[[#This Row],[Gross Sales]]*Table1[[#This Row],[Discount %]]</f>
        <v>0</v>
      </c>
      <c r="O28" s="13">
        <f>Table1[[#This Row],[Gross Sales]]-Table1[[#This Row],[Discount Amount]]</f>
        <v>350000</v>
      </c>
      <c r="P28" s="16">
        <v>130000</v>
      </c>
      <c r="Q28" s="13">
        <f>Table1[[#This Row],[Quantity Sold ]]*Table1[[#This Row],[Unit Cost]]</f>
        <v>260000</v>
      </c>
      <c r="R28" s="13">
        <f>Table1[[#This Row],[Revenue]]-Table1[[#This Row],[Total Cost]]</f>
        <v>90000</v>
      </c>
      <c r="S28" s="2" t="s">
        <v>22</v>
      </c>
      <c r="T28" s="2" t="s">
        <v>23</v>
      </c>
      <c r="U28" s="2" t="str">
        <f>IF(Table1[[#This Row],[Revenue]]&gt;=1000000,"High Value","Standard")</f>
        <v>Standard</v>
      </c>
      <c r="V28" s="2" t="str">
        <f>IF(Table1[[#This Row],[Profit]]&gt;=250000,"High Profit","Standard Profit")</f>
        <v>Standard Profit</v>
      </c>
      <c r="W28" s="2"/>
    </row>
    <row r="29" spans="1:24" x14ac:dyDescent="0.25">
      <c r="A29" s="2" t="s">
        <v>67</v>
      </c>
      <c r="B29" s="6">
        <v>46101</v>
      </c>
      <c r="C29" s="6">
        <v>46102</v>
      </c>
      <c r="D29" s="6" t="str">
        <f>IF(Table1[[#This Row],[Ship Date]]&gt;=Table1[[#This Row],[Order Date]],"Valid","Invalid ship date")</f>
        <v>Valid</v>
      </c>
      <c r="E29" s="2" t="s">
        <v>44</v>
      </c>
      <c r="F29" s="2" t="s">
        <v>89</v>
      </c>
      <c r="G29" s="2" t="s">
        <v>12</v>
      </c>
      <c r="H29" s="2" t="s">
        <v>38</v>
      </c>
      <c r="I29" s="2" t="s">
        <v>14</v>
      </c>
      <c r="J29" s="2">
        <v>8</v>
      </c>
      <c r="K29" s="13">
        <v>210000</v>
      </c>
      <c r="L29" s="13">
        <f>Table1[[#This Row],[Quantity Sold ]]*Table1[[#This Row],[Unit Price]]</f>
        <v>1680000</v>
      </c>
      <c r="M29" s="4">
        <v>0.1</v>
      </c>
      <c r="N29" s="13">
        <f>Table1[[#This Row],[Gross Sales]]*Table1[[#This Row],[Discount %]]</f>
        <v>168000</v>
      </c>
      <c r="O29" s="13">
        <f>Table1[[#This Row],[Gross Sales]]-Table1[[#This Row],[Discount Amount]]</f>
        <v>1512000</v>
      </c>
      <c r="P29" s="16">
        <v>155000</v>
      </c>
      <c r="Q29" s="13">
        <f>Table1[[#This Row],[Quantity Sold ]]*Table1[[#This Row],[Unit Cost]]</f>
        <v>1240000</v>
      </c>
      <c r="R29" s="13">
        <f>Table1[[#This Row],[Revenue]]-Table1[[#This Row],[Total Cost]]</f>
        <v>272000</v>
      </c>
      <c r="S29" s="2" t="s">
        <v>15</v>
      </c>
      <c r="T29" s="2" t="s">
        <v>16</v>
      </c>
      <c r="U29" s="2" t="str">
        <f>IF(Table1[[#This Row],[Revenue]]&gt;=1000000,"High Value","Standard")</f>
        <v>High Value</v>
      </c>
      <c r="V29" s="2" t="str">
        <f>IF(Table1[[#This Row],[Profit]]&gt;=250000,"High Profit","Standard Profit")</f>
        <v>High Profit</v>
      </c>
      <c r="W29" s="2"/>
      <c r="X29" s="27" t="s">
        <v>133</v>
      </c>
    </row>
    <row r="30" spans="1:24" x14ac:dyDescent="0.25">
      <c r="A30" s="2" t="s">
        <v>68</v>
      </c>
      <c r="B30" s="6">
        <v>46104</v>
      </c>
      <c r="C30" s="6">
        <v>46105</v>
      </c>
      <c r="D30" s="6" t="str">
        <f>IF(Table1[[#This Row],[Ship Date]]&gt;=Table1[[#This Row],[Order Date]],"Valid","Invalid ship date")</f>
        <v>Valid</v>
      </c>
      <c r="E30" s="2" t="s">
        <v>46</v>
      </c>
      <c r="F30" s="2" t="s">
        <v>95</v>
      </c>
      <c r="G30" s="2" t="s">
        <v>47</v>
      </c>
      <c r="H30" s="2" t="s">
        <v>13</v>
      </c>
      <c r="I30" s="2" t="s">
        <v>14</v>
      </c>
      <c r="J30" s="2">
        <v>3</v>
      </c>
      <c r="K30" s="13">
        <v>450000</v>
      </c>
      <c r="L30" s="13">
        <f>Table1[[#This Row],[Quantity Sold ]]*Table1[[#This Row],[Unit Price]]</f>
        <v>1350000</v>
      </c>
      <c r="M30" s="4">
        <v>0.08</v>
      </c>
      <c r="N30" s="13">
        <f>Table1[[#This Row],[Gross Sales]]*Table1[[#This Row],[Discount %]]</f>
        <v>108000</v>
      </c>
      <c r="O30" s="13">
        <f>Table1[[#This Row],[Gross Sales]]-Table1[[#This Row],[Discount Amount]]</f>
        <v>1242000</v>
      </c>
      <c r="P30" s="16">
        <v>360000</v>
      </c>
      <c r="Q30" s="13">
        <f>Table1[[#This Row],[Quantity Sold ]]*Table1[[#This Row],[Unit Cost]]</f>
        <v>1080000</v>
      </c>
      <c r="R30" s="13">
        <f>Table1[[#This Row],[Revenue]]-Table1[[#This Row],[Total Cost]]</f>
        <v>162000</v>
      </c>
      <c r="S30" s="2" t="s">
        <v>22</v>
      </c>
      <c r="T30" s="2" t="s">
        <v>23</v>
      </c>
      <c r="U30" s="2" t="str">
        <f>IF(Table1[[#This Row],[Revenue]]&gt;=1000000,"High Value","Standard")</f>
        <v>High Value</v>
      </c>
      <c r="V30" s="2" t="str">
        <f>IF(Table1[[#This Row],[Profit]]&gt;=250000,"High Profit","Standard Profit")</f>
        <v>Standard Profit</v>
      </c>
      <c r="W30" s="2"/>
      <c r="X30" s="25">
        <f>COUNTIFS(Table1[Category],I2,Table1[Customer Type],S3)</f>
        <v>12</v>
      </c>
    </row>
    <row r="31" spans="1:24" x14ac:dyDescent="0.25">
      <c r="A31" s="2" t="s">
        <v>69</v>
      </c>
      <c r="B31" s="6">
        <v>46107</v>
      </c>
      <c r="C31" s="6">
        <v>46118</v>
      </c>
      <c r="D31" s="6" t="str">
        <f>IF(Table1[[#This Row],[Ship Date]]&gt;=Table1[[#This Row],[Order Date]],"Valid","Invalid ship date")</f>
        <v>Valid</v>
      </c>
      <c r="E31" s="2" t="s">
        <v>49</v>
      </c>
      <c r="F31" s="2" t="s">
        <v>91</v>
      </c>
      <c r="G31" s="2" t="s">
        <v>19</v>
      </c>
      <c r="H31" s="2" t="s">
        <v>20</v>
      </c>
      <c r="I31" s="2" t="s">
        <v>21</v>
      </c>
      <c r="J31" s="2">
        <v>15</v>
      </c>
      <c r="K31" s="13">
        <v>85000</v>
      </c>
      <c r="L31" s="13">
        <f>Table1[[#This Row],[Quantity Sold ]]*Table1[[#This Row],[Unit Price]]</f>
        <v>1275000</v>
      </c>
      <c r="M31" s="4">
        <v>0.05</v>
      </c>
      <c r="N31" s="13">
        <f>Table1[[#This Row],[Gross Sales]]*Table1[[#This Row],[Discount %]]</f>
        <v>63750</v>
      </c>
      <c r="O31" s="13">
        <f>Table1[[#This Row],[Gross Sales]]-Table1[[#This Row],[Discount Amount]]</f>
        <v>1211250</v>
      </c>
      <c r="P31" s="16">
        <v>60000</v>
      </c>
      <c r="Q31" s="13">
        <f>Table1[[#This Row],[Quantity Sold ]]*Table1[[#This Row],[Unit Cost]]</f>
        <v>900000</v>
      </c>
      <c r="R31" s="13">
        <f>Table1[[#This Row],[Revenue]]-Table1[[#This Row],[Total Cost]]</f>
        <v>311250</v>
      </c>
      <c r="S31" s="2" t="s">
        <v>15</v>
      </c>
      <c r="T31" s="2" t="s">
        <v>28</v>
      </c>
      <c r="U31" s="2" t="str">
        <f>IF(Table1[[#This Row],[Revenue]]&gt;=1000000,"High Value","Standard")</f>
        <v>High Value</v>
      </c>
      <c r="V31" s="2" t="str">
        <f>IF(Table1[[#This Row],[Profit]]&gt;=250000,"High Profit","Standard Profit")</f>
        <v>High Profit</v>
      </c>
      <c r="W31" s="2"/>
    </row>
    <row r="32" spans="1:24" x14ac:dyDescent="0.25">
      <c r="A32" s="2" t="s">
        <v>70</v>
      </c>
      <c r="B32" s="6">
        <v>46111</v>
      </c>
      <c r="C32" s="6">
        <v>46118</v>
      </c>
      <c r="D32" s="6" t="str">
        <f>IF(Table1[[#This Row],[Ship Date]]&gt;=Table1[[#This Row],[Order Date]],"Valid","Invalid ship date")</f>
        <v>Valid</v>
      </c>
      <c r="E32" s="2" t="s">
        <v>11</v>
      </c>
      <c r="F32" s="2" t="s">
        <v>89</v>
      </c>
      <c r="G32" s="2" t="s">
        <v>12</v>
      </c>
      <c r="H32" s="2" t="s">
        <v>34</v>
      </c>
      <c r="I32" s="2" t="s">
        <v>35</v>
      </c>
      <c r="J32" s="2">
        <v>22</v>
      </c>
      <c r="K32" s="13">
        <v>35000</v>
      </c>
      <c r="L32" s="13">
        <f>Table1[[#This Row],[Quantity Sold ]]*Table1[[#This Row],[Unit Price]]</f>
        <v>770000</v>
      </c>
      <c r="M32" s="4">
        <v>0.1</v>
      </c>
      <c r="N32" s="13">
        <f>Table1[[#This Row],[Gross Sales]]*Table1[[#This Row],[Discount %]]</f>
        <v>77000</v>
      </c>
      <c r="O32" s="13">
        <f>Table1[[#This Row],[Gross Sales]]-Table1[[#This Row],[Discount Amount]]</f>
        <v>693000</v>
      </c>
      <c r="P32" s="16">
        <v>22000</v>
      </c>
      <c r="Q32" s="13">
        <f>Table1[[#This Row],[Quantity Sold ]]*Table1[[#This Row],[Unit Cost]]</f>
        <v>484000</v>
      </c>
      <c r="R32" s="13">
        <f>Table1[[#This Row],[Revenue]]-Table1[[#This Row],[Total Cost]]</f>
        <v>209000</v>
      </c>
      <c r="S32" s="2" t="s">
        <v>15</v>
      </c>
      <c r="T32" s="2" t="s">
        <v>16</v>
      </c>
      <c r="U32" s="2" t="str">
        <f>IF(Table1[[#This Row],[Revenue]]&gt;=1000000,"High Value","Standard")</f>
        <v>Standard</v>
      </c>
      <c r="V32" s="2" t="str">
        <f>IF(Table1[[#This Row],[Profit]]&gt;=250000,"High Profit","Standard Profit")</f>
        <v>Standard Profit</v>
      </c>
      <c r="W32" s="2"/>
    </row>
    <row r="33" spans="1:23" x14ac:dyDescent="0.25">
      <c r="A33" s="2" t="s">
        <v>71</v>
      </c>
      <c r="B33" s="6">
        <v>46115</v>
      </c>
      <c r="C33" s="6">
        <v>46116</v>
      </c>
      <c r="D33" s="6" t="str">
        <f>IF(Table1[[#This Row],[Ship Date]]&gt;=Table1[[#This Row],[Order Date]],"Valid","Invalid ship date")</f>
        <v>Valid</v>
      </c>
      <c r="E33" s="2" t="s">
        <v>18</v>
      </c>
      <c r="F33" s="2" t="s">
        <v>91</v>
      </c>
      <c r="G33" s="2" t="s">
        <v>19</v>
      </c>
      <c r="H33" s="2" t="s">
        <v>30</v>
      </c>
      <c r="I33" s="2" t="s">
        <v>21</v>
      </c>
      <c r="J33" s="2">
        <v>4</v>
      </c>
      <c r="K33" s="13">
        <v>120000</v>
      </c>
      <c r="L33" s="13">
        <f>Table1[[#This Row],[Quantity Sold ]]*Table1[[#This Row],[Unit Price]]</f>
        <v>480000</v>
      </c>
      <c r="M33" s="4">
        <v>7.0000000000000007E-2</v>
      </c>
      <c r="N33" s="13">
        <f>Table1[[#This Row],[Gross Sales]]*Table1[[#This Row],[Discount %]]</f>
        <v>33600</v>
      </c>
      <c r="O33" s="13">
        <f>Table1[[#This Row],[Gross Sales]]-Table1[[#This Row],[Discount Amount]]</f>
        <v>446400</v>
      </c>
      <c r="P33" s="16">
        <v>85000</v>
      </c>
      <c r="Q33" s="13">
        <f>Table1[[#This Row],[Quantity Sold ]]*Table1[[#This Row],[Unit Cost]]</f>
        <v>340000</v>
      </c>
      <c r="R33" s="13">
        <f>Table1[[#This Row],[Revenue]]-Table1[[#This Row],[Total Cost]]</f>
        <v>106400</v>
      </c>
      <c r="S33" s="2" t="s">
        <v>22</v>
      </c>
      <c r="T33" s="2" t="s">
        <v>23</v>
      </c>
      <c r="U33" s="2" t="str">
        <f>IF(Table1[[#This Row],[Revenue]]&gt;=1000000,"High Value","Standard")</f>
        <v>Standard</v>
      </c>
      <c r="V33" s="2" t="str">
        <f>IF(Table1[[#This Row],[Profit]]&gt;=250000,"High Profit","Standard Profit")</f>
        <v>Standard Profit</v>
      </c>
      <c r="W33" s="2"/>
    </row>
    <row r="34" spans="1:23" ht="19.5" customHeight="1" x14ac:dyDescent="0.25">
      <c r="A34" s="2" t="s">
        <v>72</v>
      </c>
      <c r="B34" s="6">
        <v>46118</v>
      </c>
      <c r="C34" s="6">
        <v>46116</v>
      </c>
      <c r="D34" s="6" t="str">
        <f>IF(Table1[[#This Row],[Ship Date]]&gt;=Table1[[#This Row],[Order Date]],"Valid","Invalid ship date")</f>
        <v>Invalid ship date</v>
      </c>
      <c r="E34" s="2" t="s">
        <v>25</v>
      </c>
      <c r="F34" s="2" t="s">
        <v>92</v>
      </c>
      <c r="G34" s="2" t="s">
        <v>26</v>
      </c>
      <c r="H34" s="2" t="s">
        <v>42</v>
      </c>
      <c r="I34" s="2" t="s">
        <v>35</v>
      </c>
      <c r="J34" s="2">
        <v>28</v>
      </c>
      <c r="K34" s="13">
        <v>28000</v>
      </c>
      <c r="L34" s="13">
        <f>Table1[[#This Row],[Quantity Sold ]]*Table1[[#This Row],[Unit Price]]</f>
        <v>784000</v>
      </c>
      <c r="M34" s="4">
        <v>0.05</v>
      </c>
      <c r="N34" s="13">
        <f>Table1[[#This Row],[Gross Sales]]*Table1[[#This Row],[Discount %]]</f>
        <v>39200</v>
      </c>
      <c r="O34" s="13">
        <f>Table1[[#This Row],[Gross Sales]]-Table1[[#This Row],[Discount Amount]]</f>
        <v>744800</v>
      </c>
      <c r="P34" s="16">
        <v>18000</v>
      </c>
      <c r="Q34" s="13">
        <f>Table1[[#This Row],[Quantity Sold ]]*Table1[[#This Row],[Unit Cost]]</f>
        <v>504000</v>
      </c>
      <c r="R34" s="13">
        <f>Table1[[#This Row],[Revenue]]-Table1[[#This Row],[Total Cost]]</f>
        <v>240800</v>
      </c>
      <c r="S34" s="2" t="s">
        <v>15</v>
      </c>
      <c r="T34" s="2" t="s">
        <v>28</v>
      </c>
      <c r="U34" s="2" t="str">
        <f>IF(Table1[[#This Row],[Revenue]]&gt;=1000000,"High Value","Standard")</f>
        <v>Standard</v>
      </c>
      <c r="V34" s="2" t="str">
        <f>IF(Table1[[#This Row],[Profit]]&gt;=250000,"High Profit","Standard Profit")</f>
        <v>Standard Profit</v>
      </c>
      <c r="W34" s="2"/>
    </row>
    <row r="35" spans="1:23" ht="16.5" customHeight="1" x14ac:dyDescent="0.25">
      <c r="A35" s="2" t="s">
        <v>73</v>
      </c>
      <c r="B35" s="6">
        <v>46121</v>
      </c>
      <c r="C35" s="6">
        <v>46116</v>
      </c>
      <c r="D35" s="6" t="str">
        <f>IF(Table1[[#This Row],[Ship Date]]&gt;=Table1[[#This Row],[Order Date]],"Valid","Invalid ship date")</f>
        <v>Invalid ship date</v>
      </c>
      <c r="E35" s="2" t="s">
        <v>29</v>
      </c>
      <c r="F35" s="2" t="s">
        <v>89</v>
      </c>
      <c r="G35" s="2" t="s">
        <v>12</v>
      </c>
      <c r="H35" s="2" t="s">
        <v>13</v>
      </c>
      <c r="I35" s="2" t="s">
        <v>14</v>
      </c>
      <c r="J35" s="2">
        <v>6</v>
      </c>
      <c r="K35" s="13">
        <v>450000</v>
      </c>
      <c r="L35" s="13">
        <f>Table1[[#This Row],[Quantity Sold ]]*Table1[[#This Row],[Unit Price]]</f>
        <v>2700000</v>
      </c>
      <c r="M35" s="4">
        <v>0.12</v>
      </c>
      <c r="N35" s="13">
        <f>Table1[[#This Row],[Gross Sales]]*Table1[[#This Row],[Discount %]]</f>
        <v>324000</v>
      </c>
      <c r="O35" s="13">
        <f>Table1[[#This Row],[Gross Sales]]-Table1[[#This Row],[Discount Amount]]</f>
        <v>2376000</v>
      </c>
      <c r="P35" s="16">
        <v>360000</v>
      </c>
      <c r="Q35" s="13">
        <f>Table1[[#This Row],[Quantity Sold ]]*Table1[[#This Row],[Unit Cost]]</f>
        <v>2160000</v>
      </c>
      <c r="R35" s="13">
        <f>Table1[[#This Row],[Revenue]]-Table1[[#This Row],[Total Cost]]</f>
        <v>216000</v>
      </c>
      <c r="S35" s="2" t="s">
        <v>22</v>
      </c>
      <c r="T35" s="2" t="s">
        <v>16</v>
      </c>
      <c r="U35" s="2" t="str">
        <f>IF(Table1[[#This Row],[Revenue]]&gt;=1000000,"High Value","Standard")</f>
        <v>High Value</v>
      </c>
      <c r="V35" s="2" t="str">
        <f>IF(Table1[[#This Row],[Profit]]&gt;=250000,"High Profit","Standard Profit")</f>
        <v>Standard Profit</v>
      </c>
      <c r="W35" s="2"/>
    </row>
    <row r="36" spans="1:23" x14ac:dyDescent="0.25">
      <c r="A36" s="2" t="s">
        <v>111</v>
      </c>
      <c r="B36" s="6">
        <v>46124</v>
      </c>
      <c r="C36" s="6">
        <v>46125</v>
      </c>
      <c r="D36" s="6" t="str">
        <f>IF(Table1[[#This Row],[Ship Date]]&gt;=Table1[[#This Row],[Order Date]],"Valid","Invalid ship date")</f>
        <v>Valid</v>
      </c>
      <c r="E36" s="2" t="s">
        <v>32</v>
      </c>
      <c r="F36" s="2" t="s">
        <v>93</v>
      </c>
      <c r="G36" s="8" t="s">
        <v>33</v>
      </c>
      <c r="H36" s="2" t="s">
        <v>38</v>
      </c>
      <c r="I36" s="2" t="s">
        <v>14</v>
      </c>
      <c r="J36" s="2">
        <v>4</v>
      </c>
      <c r="K36" s="13">
        <v>210000</v>
      </c>
      <c r="L36" s="13">
        <f>Table1[[#This Row],[Quantity Sold ]]*Table1[[#This Row],[Unit Price]]</f>
        <v>840000</v>
      </c>
      <c r="M36" s="4">
        <v>0.05</v>
      </c>
      <c r="N36" s="13">
        <f>Table1[[#This Row],[Gross Sales]]*Table1[[#This Row],[Discount %]]</f>
        <v>42000</v>
      </c>
      <c r="O36" s="13">
        <f>Table1[[#This Row],[Gross Sales]]-Table1[[#This Row],[Discount Amount]]</f>
        <v>798000</v>
      </c>
      <c r="P36" s="16">
        <v>155000</v>
      </c>
      <c r="Q36" s="13">
        <f>Table1[[#This Row],[Quantity Sold ]]*Table1[[#This Row],[Unit Cost]]</f>
        <v>620000</v>
      </c>
      <c r="R36" s="13">
        <f>Table1[[#This Row],[Revenue]]-Table1[[#This Row],[Total Cost]]</f>
        <v>178000</v>
      </c>
      <c r="S36" s="2" t="s">
        <v>15</v>
      </c>
      <c r="T36" s="2" t="s">
        <v>104</v>
      </c>
      <c r="U36" s="2" t="str">
        <f>IF(Table1[[#This Row],[Revenue]]&gt;=1000000,"High Value","Standard")</f>
        <v>Standard</v>
      </c>
      <c r="V36" s="2" t="str">
        <f>IF(Table1[[#This Row],[Profit]]&gt;=250000,"High Profit","Standard Profit")</f>
        <v>Standard Profit</v>
      </c>
      <c r="W36" s="2"/>
    </row>
    <row r="37" spans="1:23" x14ac:dyDescent="0.25">
      <c r="A37" s="2" t="s">
        <v>74</v>
      </c>
      <c r="B37" s="6">
        <v>46127</v>
      </c>
      <c r="C37" s="6">
        <v>46128</v>
      </c>
      <c r="D37" s="6" t="str">
        <f>IF(Table1[[#This Row],[Ship Date]]&gt;=Table1[[#This Row],[Order Date]],"Valid","Invalid ship date")</f>
        <v>Valid</v>
      </c>
      <c r="E37" s="2" t="s">
        <v>36</v>
      </c>
      <c r="F37" s="2" t="s">
        <v>94</v>
      </c>
      <c r="G37" s="2" t="s">
        <v>37</v>
      </c>
      <c r="H37" s="2" t="s">
        <v>27</v>
      </c>
      <c r="I37" s="2" t="s">
        <v>14</v>
      </c>
      <c r="J37" s="2">
        <v>5</v>
      </c>
      <c r="K37" s="13">
        <v>175000</v>
      </c>
      <c r="L37" s="13">
        <f>Table1[[#This Row],[Quantity Sold ]]*Table1[[#This Row],[Unit Price]]</f>
        <v>875000</v>
      </c>
      <c r="M37" s="4">
        <v>0.08</v>
      </c>
      <c r="N37" s="13">
        <f>Table1[[#This Row],[Gross Sales]]*Table1[[#This Row],[Discount %]]</f>
        <v>70000</v>
      </c>
      <c r="O37" s="13">
        <f>Table1[[#This Row],[Gross Sales]]-Table1[[#This Row],[Discount Amount]]</f>
        <v>805000</v>
      </c>
      <c r="P37" s="16">
        <v>130000</v>
      </c>
      <c r="Q37" s="13">
        <f>Table1[[#This Row],[Quantity Sold ]]*Table1[[#This Row],[Unit Cost]]</f>
        <v>650000</v>
      </c>
      <c r="R37" s="13">
        <f>Table1[[#This Row],[Revenue]]-Table1[[#This Row],[Total Cost]]</f>
        <v>155000</v>
      </c>
      <c r="S37" s="2" t="s">
        <v>22</v>
      </c>
      <c r="T37" s="2" t="s">
        <v>16</v>
      </c>
      <c r="U37" s="2" t="str">
        <f>IF(Table1[[#This Row],[Revenue]]&gt;=1000000,"High Value","Standard")</f>
        <v>Standard</v>
      </c>
      <c r="V37" s="2" t="str">
        <f>IF(Table1[[#This Row],[Profit]]&gt;=250000,"High Profit","Standard Profit")</f>
        <v>Standard Profit</v>
      </c>
      <c r="W37" s="2"/>
    </row>
    <row r="38" spans="1:23" x14ac:dyDescent="0.25">
      <c r="A38" s="2" t="s">
        <v>75</v>
      </c>
      <c r="B38" s="6">
        <v>46130</v>
      </c>
      <c r="C38" s="6">
        <v>46142</v>
      </c>
      <c r="D38" s="6" t="str">
        <f>IF(Table1[[#This Row],[Ship Date]]&gt;=Table1[[#This Row],[Order Date]],"Valid","Invalid ship date")</f>
        <v>Valid</v>
      </c>
      <c r="E38" s="2" t="s">
        <v>40</v>
      </c>
      <c r="F38" s="2" t="s">
        <v>96</v>
      </c>
      <c r="G38" s="2" t="s">
        <v>41</v>
      </c>
      <c r="H38" s="2" t="s">
        <v>50</v>
      </c>
      <c r="I38" s="2" t="s">
        <v>35</v>
      </c>
      <c r="J38" s="2">
        <v>40</v>
      </c>
      <c r="K38" s="13">
        <v>18000</v>
      </c>
      <c r="L38" s="13">
        <f>Table1[[#This Row],[Quantity Sold ]]*Table1[[#This Row],[Unit Price]]</f>
        <v>720000</v>
      </c>
      <c r="M38" s="4">
        <v>0</v>
      </c>
      <c r="N38" s="13">
        <f>Table1[[#This Row],[Gross Sales]]*Table1[[#This Row],[Discount %]]</f>
        <v>0</v>
      </c>
      <c r="O38" s="13">
        <f>Table1[[#This Row],[Gross Sales]]-Table1[[#This Row],[Discount Amount]]</f>
        <v>720000</v>
      </c>
      <c r="P38" s="16">
        <v>10000</v>
      </c>
      <c r="Q38" s="13">
        <f>Table1[[#This Row],[Quantity Sold ]]*Table1[[#This Row],[Unit Cost]]</f>
        <v>400000</v>
      </c>
      <c r="R38" s="13">
        <f>Table1[[#This Row],[Revenue]]-Table1[[#This Row],[Total Cost]]</f>
        <v>320000</v>
      </c>
      <c r="S38" s="2" t="s">
        <v>15</v>
      </c>
      <c r="T38" s="2" t="s">
        <v>28</v>
      </c>
      <c r="U38" s="2" t="str">
        <f>IF(Table1[[#This Row],[Revenue]]&gt;=1000000,"High Value","Standard")</f>
        <v>Standard</v>
      </c>
      <c r="V38" s="2" t="str">
        <f>IF(Table1[[#This Row],[Profit]]&gt;=250000,"High Profit","Standard Profit")</f>
        <v>High Profit</v>
      </c>
      <c r="W38" s="2"/>
    </row>
    <row r="39" spans="1:23" x14ac:dyDescent="0.25">
      <c r="A39" s="2" t="s">
        <v>76</v>
      </c>
      <c r="B39" s="6">
        <v>46133</v>
      </c>
      <c r="C39" s="6">
        <v>46133</v>
      </c>
      <c r="D39" s="6" t="str">
        <f>IF(Table1[[#This Row],[Ship Date]]&gt;=Table1[[#This Row],[Order Date]],"Valid","Invalid ship date")</f>
        <v>Valid</v>
      </c>
      <c r="E39" s="2" t="s">
        <v>44</v>
      </c>
      <c r="F39" s="2" t="s">
        <v>89</v>
      </c>
      <c r="G39" s="2" t="s">
        <v>12</v>
      </c>
      <c r="H39" s="2" t="s">
        <v>20</v>
      </c>
      <c r="I39" s="2" t="s">
        <v>21</v>
      </c>
      <c r="J39" s="2">
        <v>11</v>
      </c>
      <c r="K39" s="13">
        <v>85000</v>
      </c>
      <c r="L39" s="13">
        <f>Table1[[#This Row],[Quantity Sold ]]*Table1[[#This Row],[Unit Price]]</f>
        <v>935000</v>
      </c>
      <c r="M39" s="4">
        <v>0.1</v>
      </c>
      <c r="N39" s="13">
        <f>Table1[[#This Row],[Gross Sales]]*Table1[[#This Row],[Discount %]]</f>
        <v>93500</v>
      </c>
      <c r="O39" s="13">
        <f>Table1[[#This Row],[Gross Sales]]-Table1[[#This Row],[Discount Amount]]</f>
        <v>841500</v>
      </c>
      <c r="P39" s="16">
        <v>60000</v>
      </c>
      <c r="Q39" s="13">
        <f>Table1[[#This Row],[Quantity Sold ]]*Table1[[#This Row],[Unit Cost]]</f>
        <v>660000</v>
      </c>
      <c r="R39" s="13">
        <f>Table1[[#This Row],[Revenue]]-Table1[[#This Row],[Total Cost]]</f>
        <v>181500</v>
      </c>
      <c r="S39" s="2" t="s">
        <v>22</v>
      </c>
      <c r="T39" s="2" t="s">
        <v>23</v>
      </c>
      <c r="U39" s="2" t="str">
        <f>IF(Table1[[#This Row],[Revenue]]&gt;=1000000,"High Value","Standard")</f>
        <v>Standard</v>
      </c>
      <c r="V39" s="2" t="str">
        <f>IF(Table1[[#This Row],[Profit]]&gt;=250000,"High Profit","Standard Profit")</f>
        <v>Standard Profit</v>
      </c>
      <c r="W39" s="2"/>
    </row>
    <row r="40" spans="1:23" x14ac:dyDescent="0.25">
      <c r="A40" s="2" t="s">
        <v>112</v>
      </c>
      <c r="B40" s="6">
        <v>46158</v>
      </c>
      <c r="C40" s="6">
        <v>46170</v>
      </c>
      <c r="D40" s="6" t="str">
        <f>IF(Table1[[#This Row],[Ship Date]]&gt;=Table1[[#This Row],[Order Date]],"Valid","Invalid ship date")</f>
        <v>Valid</v>
      </c>
      <c r="E40" s="2" t="s">
        <v>36</v>
      </c>
      <c r="F40" s="2" t="s">
        <v>94</v>
      </c>
      <c r="G40" s="2" t="s">
        <v>37</v>
      </c>
      <c r="H40" s="2" t="s">
        <v>34</v>
      </c>
      <c r="I40" s="2" t="s">
        <v>35</v>
      </c>
      <c r="J40" s="2">
        <v>25</v>
      </c>
      <c r="K40" s="13">
        <v>35000</v>
      </c>
      <c r="L40" s="13">
        <f>Table1[[#This Row],[Quantity Sold ]]*Table1[[#This Row],[Unit Price]]</f>
        <v>875000</v>
      </c>
      <c r="M40" s="4">
        <v>0.05</v>
      </c>
      <c r="N40" s="13">
        <f>Table1[[#This Row],[Gross Sales]]*Table1[[#This Row],[Discount %]]</f>
        <v>43750</v>
      </c>
      <c r="O40" s="13">
        <f>Table1[[#This Row],[Gross Sales]]-Table1[[#This Row],[Discount Amount]]</f>
        <v>831250</v>
      </c>
      <c r="P40" s="16">
        <v>22000</v>
      </c>
      <c r="Q40" s="13">
        <f>Table1[[#This Row],[Quantity Sold ]]*Table1[[#This Row],[Unit Cost]]</f>
        <v>550000</v>
      </c>
      <c r="R40" s="13">
        <f>Table1[[#This Row],[Revenue]]-Table1[[#This Row],[Total Cost]]</f>
        <v>281250</v>
      </c>
      <c r="S40" s="2" t="s">
        <v>15</v>
      </c>
      <c r="T40" s="2" t="s">
        <v>23</v>
      </c>
      <c r="U40" s="2" t="str">
        <f>IF(Table1[[#This Row],[Revenue]]&gt;=1000000,"High Value","Standard")</f>
        <v>Standard</v>
      </c>
      <c r="V40" s="2" t="str">
        <f>IF(Table1[[#This Row],[Profit]]&gt;=250000,"High Profit","Standard Profit")</f>
        <v>High Profit</v>
      </c>
      <c r="W40" s="2"/>
    </row>
    <row r="41" spans="1:23" x14ac:dyDescent="0.25">
      <c r="A41" s="2" t="s">
        <v>77</v>
      </c>
      <c r="B41" s="6">
        <v>46139</v>
      </c>
      <c r="C41" s="6">
        <v>46142</v>
      </c>
      <c r="D41" s="6" t="str">
        <f>IF(Table1[[#This Row],[Ship Date]]&gt;=Table1[[#This Row],[Order Date]],"Valid","Invalid ship date")</f>
        <v>Valid</v>
      </c>
      <c r="E41" s="2" t="s">
        <v>49</v>
      </c>
      <c r="F41" s="2" t="s">
        <v>91</v>
      </c>
      <c r="G41" s="2" t="s">
        <v>19</v>
      </c>
      <c r="H41" s="2" t="s">
        <v>30</v>
      </c>
      <c r="I41" s="2" t="s">
        <v>21</v>
      </c>
      <c r="J41" s="2">
        <v>8</v>
      </c>
      <c r="K41" s="13">
        <v>120000</v>
      </c>
      <c r="L41" s="13">
        <f>Table1[[#This Row],[Quantity Sold ]]*Table1[[#This Row],[Unit Price]]</f>
        <v>960000</v>
      </c>
      <c r="M41" s="4">
        <v>0.15</v>
      </c>
      <c r="N41" s="13">
        <f>Table1[[#This Row],[Gross Sales]]*Table1[[#This Row],[Discount %]]</f>
        <v>144000</v>
      </c>
      <c r="O41" s="13">
        <f>Table1[[#This Row],[Gross Sales]]-Table1[[#This Row],[Discount Amount]]</f>
        <v>816000</v>
      </c>
      <c r="P41" s="16">
        <v>85000</v>
      </c>
      <c r="Q41" s="13">
        <f>Table1[[#This Row],[Quantity Sold ]]*Table1[[#This Row],[Unit Cost]]</f>
        <v>680000</v>
      </c>
      <c r="R41" s="13">
        <f>Table1[[#This Row],[Revenue]]-Table1[[#This Row],[Total Cost]]</f>
        <v>136000</v>
      </c>
      <c r="S41" s="2" t="s">
        <v>22</v>
      </c>
      <c r="T41" s="2" t="s">
        <v>23</v>
      </c>
      <c r="U41" s="2" t="str">
        <f>IF(Table1[[#This Row],[Revenue]]&gt;=1000000,"High Value","Standard")</f>
        <v>Standard</v>
      </c>
      <c r="V41" s="2" t="str">
        <f>IF(Table1[[#This Row],[Profit]]&gt;=250000,"High Profit","Standard Profit")</f>
        <v>Standard Profit</v>
      </c>
      <c r="W41" s="2"/>
    </row>
    <row r="42" spans="1:23" x14ac:dyDescent="0.25">
      <c r="A42" s="2" t="s">
        <v>78</v>
      </c>
      <c r="B42" s="6">
        <v>46143</v>
      </c>
      <c r="C42" s="6">
        <v>46144</v>
      </c>
      <c r="D42" s="6" t="str">
        <f>IF(Table1[[#This Row],[Ship Date]]&gt;=Table1[[#This Row],[Order Date]],"Valid","Invalid ship date")</f>
        <v>Valid</v>
      </c>
      <c r="E42" s="2" t="s">
        <v>11</v>
      </c>
      <c r="F42" s="2" t="s">
        <v>89</v>
      </c>
      <c r="G42" s="2" t="s">
        <v>12</v>
      </c>
      <c r="H42" s="2" t="s">
        <v>42</v>
      </c>
      <c r="I42" s="2" t="s">
        <v>35</v>
      </c>
      <c r="J42" s="2">
        <v>32</v>
      </c>
      <c r="K42" s="13">
        <v>28000</v>
      </c>
      <c r="L42" s="13">
        <f>Table1[[#This Row],[Quantity Sold ]]*Table1[[#This Row],[Unit Price]]</f>
        <v>896000</v>
      </c>
      <c r="M42" s="4">
        <v>0.05</v>
      </c>
      <c r="N42" s="13">
        <f>Table1[[#This Row],[Gross Sales]]*Table1[[#This Row],[Discount %]]</f>
        <v>44800</v>
      </c>
      <c r="O42" s="13">
        <f>Table1[[#This Row],[Gross Sales]]-Table1[[#This Row],[Discount Amount]]</f>
        <v>851200</v>
      </c>
      <c r="P42" s="16">
        <v>18000</v>
      </c>
      <c r="Q42" s="13">
        <f>Table1[[#This Row],[Quantity Sold ]]*Table1[[#This Row],[Unit Cost]]</f>
        <v>576000</v>
      </c>
      <c r="R42" s="13">
        <f>Table1[[#This Row],[Revenue]]-Table1[[#This Row],[Total Cost]]</f>
        <v>275200</v>
      </c>
      <c r="S42" s="2" t="s">
        <v>15</v>
      </c>
      <c r="T42" s="2" t="s">
        <v>28</v>
      </c>
      <c r="U42" s="2" t="str">
        <f>IF(Table1[[#This Row],[Revenue]]&gt;=1000000,"High Value","Standard")</f>
        <v>Standard</v>
      </c>
      <c r="V42" s="2" t="str">
        <f>IF(Table1[[#This Row],[Profit]]&gt;=250000,"High Profit","Standard Profit")</f>
        <v>High Profit</v>
      </c>
      <c r="W42" s="2"/>
    </row>
    <row r="43" spans="1:23" x14ac:dyDescent="0.25">
      <c r="A43" s="2" t="s">
        <v>79</v>
      </c>
      <c r="B43" s="6">
        <v>46146</v>
      </c>
      <c r="C43" s="6">
        <v>46147</v>
      </c>
      <c r="D43" s="6" t="str">
        <f>IF(Table1[[#This Row],[Ship Date]]&gt;=Table1[[#This Row],[Order Date]],"Valid","Invalid ship date")</f>
        <v>Valid</v>
      </c>
      <c r="E43" s="2" t="s">
        <v>18</v>
      </c>
      <c r="F43" s="2" t="s">
        <v>91</v>
      </c>
      <c r="G43" s="2" t="s">
        <v>19</v>
      </c>
      <c r="H43" s="2" t="s">
        <v>27</v>
      </c>
      <c r="I43" s="2" t="s">
        <v>14</v>
      </c>
      <c r="J43" s="2">
        <v>4</v>
      </c>
      <c r="K43" s="13">
        <v>175000</v>
      </c>
      <c r="L43" s="13">
        <f>Table1[[#This Row],[Quantity Sold ]]*Table1[[#This Row],[Unit Price]]</f>
        <v>700000</v>
      </c>
      <c r="M43" s="4">
        <v>0.1</v>
      </c>
      <c r="N43" s="13">
        <f>Table1[[#This Row],[Gross Sales]]*Table1[[#This Row],[Discount %]]</f>
        <v>70000</v>
      </c>
      <c r="O43" s="13">
        <f>Table1[[#This Row],[Gross Sales]]-Table1[[#This Row],[Discount Amount]]</f>
        <v>630000</v>
      </c>
      <c r="P43" s="16">
        <v>130000</v>
      </c>
      <c r="Q43" s="13">
        <f>Table1[[#This Row],[Quantity Sold ]]*Table1[[#This Row],[Unit Cost]]</f>
        <v>520000</v>
      </c>
      <c r="R43" s="13">
        <f>Table1[[#This Row],[Revenue]]-Table1[[#This Row],[Total Cost]]</f>
        <v>110000</v>
      </c>
      <c r="S43" s="2" t="s">
        <v>22</v>
      </c>
      <c r="T43" s="2" t="s">
        <v>16</v>
      </c>
      <c r="U43" s="2" t="str">
        <f>IF(Table1[[#This Row],[Revenue]]&gt;=1000000,"High Value","Standard")</f>
        <v>Standard</v>
      </c>
      <c r="V43" s="2" t="str">
        <f>IF(Table1[[#This Row],[Profit]]&gt;=250000,"High Profit","Standard Profit")</f>
        <v>Standard Profit</v>
      </c>
      <c r="W43" s="2"/>
    </row>
    <row r="44" spans="1:23" x14ac:dyDescent="0.25">
      <c r="A44" s="2" t="s">
        <v>113</v>
      </c>
      <c r="B44" s="6">
        <v>46149</v>
      </c>
      <c r="C44" s="6">
        <v>46170</v>
      </c>
      <c r="D44" s="6" t="str">
        <f>IF(Table1[[#This Row],[Ship Date]]&gt;=Table1[[#This Row],[Order Date]],"Valid","Invalid ship date")</f>
        <v>Valid</v>
      </c>
      <c r="E44" s="2" t="s">
        <v>25</v>
      </c>
      <c r="F44" s="2" t="s">
        <v>92</v>
      </c>
      <c r="G44" s="2" t="s">
        <v>26</v>
      </c>
      <c r="H44" s="2" t="s">
        <v>13</v>
      </c>
      <c r="I44" s="2" t="s">
        <v>14</v>
      </c>
      <c r="J44" s="2">
        <v>2</v>
      </c>
      <c r="K44" s="13">
        <v>450000</v>
      </c>
      <c r="L44" s="13">
        <f>Table1[[#This Row],[Quantity Sold ]]*Table1[[#This Row],[Unit Price]]</f>
        <v>900000</v>
      </c>
      <c r="M44" s="4">
        <v>0.05</v>
      </c>
      <c r="N44" s="13">
        <f>Table1[[#This Row],[Gross Sales]]*Table1[[#This Row],[Discount %]]</f>
        <v>45000</v>
      </c>
      <c r="O44" s="13">
        <f>Table1[[#This Row],[Gross Sales]]-Table1[[#This Row],[Discount Amount]]</f>
        <v>855000</v>
      </c>
      <c r="P44" s="16">
        <v>360000</v>
      </c>
      <c r="Q44" s="13">
        <f>Table1[[#This Row],[Quantity Sold ]]*Table1[[#This Row],[Unit Cost]]</f>
        <v>720000</v>
      </c>
      <c r="R44" s="13">
        <f>Table1[[#This Row],[Revenue]]-Table1[[#This Row],[Total Cost]]</f>
        <v>135000</v>
      </c>
      <c r="S44" s="2" t="s">
        <v>15</v>
      </c>
      <c r="T44" s="2" t="s">
        <v>23</v>
      </c>
      <c r="U44" s="2" t="str">
        <f>IF(Table1[[#This Row],[Revenue]]&gt;=1000000,"High Value","Standard")</f>
        <v>Standard</v>
      </c>
      <c r="V44" s="2" t="str">
        <f>IF(Table1[[#This Row],[Profit]]&gt;=250000,"High Profit","Standard Profit")</f>
        <v>Standard Profit</v>
      </c>
      <c r="W44" s="2"/>
    </row>
    <row r="45" spans="1:23" x14ac:dyDescent="0.25">
      <c r="A45" s="2" t="s">
        <v>80</v>
      </c>
      <c r="B45" s="6">
        <v>46152</v>
      </c>
      <c r="C45" s="6">
        <v>46155</v>
      </c>
      <c r="D45" s="6" t="str">
        <f>IF(Table1[[#This Row],[Ship Date]]&gt;=Table1[[#This Row],[Order Date]],"Valid","Invalid ship date")</f>
        <v>Valid</v>
      </c>
      <c r="E45" s="2" t="s">
        <v>29</v>
      </c>
      <c r="F45" s="2" t="s">
        <v>89</v>
      </c>
      <c r="G45" s="2" t="s">
        <v>12</v>
      </c>
      <c r="H45" s="2" t="s">
        <v>38</v>
      </c>
      <c r="I45" s="2" t="s">
        <v>14</v>
      </c>
      <c r="J45" s="2">
        <v>9</v>
      </c>
      <c r="K45" s="13">
        <v>210000</v>
      </c>
      <c r="L45" s="13">
        <f>Table1[[#This Row],[Quantity Sold ]]*Table1[[#This Row],[Unit Price]]</f>
        <v>1890000</v>
      </c>
      <c r="M45" s="4">
        <v>0.08</v>
      </c>
      <c r="N45" s="13">
        <f>Table1[[#This Row],[Gross Sales]]*Table1[[#This Row],[Discount %]]</f>
        <v>151200</v>
      </c>
      <c r="O45" s="13">
        <f>Table1[[#This Row],[Gross Sales]]-Table1[[#This Row],[Discount Amount]]</f>
        <v>1738800</v>
      </c>
      <c r="P45" s="16">
        <v>155000</v>
      </c>
      <c r="Q45" s="13">
        <f>Table1[[#This Row],[Quantity Sold ]]*Table1[[#This Row],[Unit Cost]]</f>
        <v>1395000</v>
      </c>
      <c r="R45" s="13">
        <f>Table1[[#This Row],[Revenue]]-Table1[[#This Row],[Total Cost]]</f>
        <v>343800</v>
      </c>
      <c r="S45" s="2" t="s">
        <v>22</v>
      </c>
      <c r="T45" s="2" t="s">
        <v>16</v>
      </c>
      <c r="U45" s="2" t="str">
        <f>IF(Table1[[#This Row],[Revenue]]&gt;=1000000,"High Value","Standard")</f>
        <v>High Value</v>
      </c>
      <c r="V45" s="2" t="str">
        <f>IF(Table1[[#This Row],[Profit]]&gt;=250000,"High Profit","Standard Profit")</f>
        <v>High Profit</v>
      </c>
      <c r="W45" s="2"/>
    </row>
    <row r="46" spans="1:23" ht="18" customHeight="1" x14ac:dyDescent="0.25">
      <c r="A46" s="2" t="s">
        <v>81</v>
      </c>
      <c r="B46" s="6">
        <v>46155</v>
      </c>
      <c r="C46" s="6">
        <v>46152</v>
      </c>
      <c r="D46" s="6" t="str">
        <f>IF(Table1[[#This Row],[Ship Date]]&gt;=Table1[[#This Row],[Order Date]],"Valid","Invalid ship date")</f>
        <v>Invalid ship date</v>
      </c>
      <c r="E46" s="2" t="s">
        <v>32</v>
      </c>
      <c r="F46" s="2" t="s">
        <v>93</v>
      </c>
      <c r="G46" s="8" t="s">
        <v>33</v>
      </c>
      <c r="H46" s="2" t="s">
        <v>20</v>
      </c>
      <c r="I46" s="2" t="s">
        <v>21</v>
      </c>
      <c r="J46" s="2">
        <v>13</v>
      </c>
      <c r="K46" s="13">
        <v>85000</v>
      </c>
      <c r="L46" s="13">
        <f>Table1[[#This Row],[Quantity Sold ]]*Table1[[#This Row],[Unit Price]]</f>
        <v>1105000</v>
      </c>
      <c r="M46" s="4">
        <v>7.0000000000000007E-2</v>
      </c>
      <c r="N46" s="13">
        <f>Table1[[#This Row],[Gross Sales]]*Table1[[#This Row],[Discount %]]</f>
        <v>77350.000000000015</v>
      </c>
      <c r="O46" s="13">
        <f>Table1[[#This Row],[Gross Sales]]-Table1[[#This Row],[Discount Amount]]</f>
        <v>1027650</v>
      </c>
      <c r="P46" s="16">
        <v>60000</v>
      </c>
      <c r="Q46" s="13">
        <f>Table1[[#This Row],[Quantity Sold ]]*Table1[[#This Row],[Unit Cost]]</f>
        <v>780000</v>
      </c>
      <c r="R46" s="13">
        <f>Table1[[#This Row],[Revenue]]-Table1[[#This Row],[Total Cost]]</f>
        <v>247650</v>
      </c>
      <c r="S46" s="2" t="s">
        <v>15</v>
      </c>
      <c r="T46" s="2" t="s">
        <v>28</v>
      </c>
      <c r="U46" s="2" t="str">
        <f>IF(Table1[[#This Row],[Revenue]]&gt;=1000000,"High Value","Standard")</f>
        <v>High Value</v>
      </c>
      <c r="V46" s="2" t="str">
        <f>IF(Table1[[#This Row],[Profit]]&gt;=250000,"High Profit","Standard Profit")</f>
        <v>Standard Profit</v>
      </c>
      <c r="W46" s="2"/>
    </row>
    <row r="47" spans="1:23" x14ac:dyDescent="0.25">
      <c r="A47" s="2" t="s">
        <v>82</v>
      </c>
      <c r="B47" s="6">
        <v>46161</v>
      </c>
      <c r="C47" s="6">
        <v>46162</v>
      </c>
      <c r="D47" s="6" t="str">
        <f>IF(Table1[[#This Row],[Ship Date]]&gt;=Table1[[#This Row],[Order Date]],"Valid","Invalid ship date")</f>
        <v>Valid</v>
      </c>
      <c r="E47" s="2" t="s">
        <v>40</v>
      </c>
      <c r="F47" s="2" t="s">
        <v>96</v>
      </c>
      <c r="G47" s="2" t="s">
        <v>41</v>
      </c>
      <c r="H47" s="2" t="s">
        <v>30</v>
      </c>
      <c r="I47" s="2" t="s">
        <v>21</v>
      </c>
      <c r="J47" s="2">
        <v>5</v>
      </c>
      <c r="K47" s="13">
        <v>120000</v>
      </c>
      <c r="L47" s="13">
        <f>Table1[[#This Row],[Quantity Sold ]]*Table1[[#This Row],[Unit Price]]</f>
        <v>600000</v>
      </c>
      <c r="M47" s="4">
        <v>0.1</v>
      </c>
      <c r="N47" s="13">
        <f>Table1[[#This Row],[Gross Sales]]*Table1[[#This Row],[Discount %]]</f>
        <v>60000</v>
      </c>
      <c r="O47" s="13">
        <f>Table1[[#This Row],[Gross Sales]]-Table1[[#This Row],[Discount Amount]]</f>
        <v>540000</v>
      </c>
      <c r="P47" s="16">
        <v>85000</v>
      </c>
      <c r="Q47" s="13">
        <f>Table1[[#This Row],[Quantity Sold ]]*Table1[[#This Row],[Unit Cost]]</f>
        <v>425000</v>
      </c>
      <c r="R47" s="13">
        <f>Table1[[#This Row],[Revenue]]-Table1[[#This Row],[Total Cost]]</f>
        <v>115000</v>
      </c>
      <c r="S47" s="2" t="s">
        <v>22</v>
      </c>
      <c r="T47" s="2" t="s">
        <v>16</v>
      </c>
      <c r="U47" s="2" t="str">
        <f>IF(Table1[[#This Row],[Revenue]]&gt;=1000000,"High Value","Standard")</f>
        <v>Standard</v>
      </c>
      <c r="V47" s="2" t="str">
        <f>IF(Table1[[#This Row],[Profit]]&gt;=250000,"High Profit","Standard Profit")</f>
        <v>Standard Profit</v>
      </c>
      <c r="W47" s="2"/>
    </row>
    <row r="48" spans="1:23" x14ac:dyDescent="0.25">
      <c r="A48" s="2" t="s">
        <v>83</v>
      </c>
      <c r="B48" s="6">
        <v>46164</v>
      </c>
      <c r="C48" s="6">
        <v>46165</v>
      </c>
      <c r="D48" s="6" t="str">
        <f>IF(Table1[[#This Row],[Ship Date]]&gt;=Table1[[#This Row],[Order Date]],"Valid","Invalid ship date")</f>
        <v>Valid</v>
      </c>
      <c r="E48" s="2" t="s">
        <v>44</v>
      </c>
      <c r="F48" s="2" t="s">
        <v>89</v>
      </c>
      <c r="G48" s="2" t="s">
        <v>12</v>
      </c>
      <c r="H48" s="2" t="s">
        <v>50</v>
      </c>
      <c r="I48" s="2" t="s">
        <v>35</v>
      </c>
      <c r="J48" s="2">
        <v>45</v>
      </c>
      <c r="K48" s="13">
        <v>18000</v>
      </c>
      <c r="L48" s="13">
        <f>Table1[[#This Row],[Quantity Sold ]]*Table1[[#This Row],[Unit Price]]</f>
        <v>810000</v>
      </c>
      <c r="M48" s="4">
        <v>0.03</v>
      </c>
      <c r="N48" s="13">
        <f>Table1[[#This Row],[Gross Sales]]*Table1[[#This Row],[Discount %]]</f>
        <v>24300</v>
      </c>
      <c r="O48" s="13">
        <f>Table1[[#This Row],[Gross Sales]]-Table1[[#This Row],[Discount Amount]]</f>
        <v>785700</v>
      </c>
      <c r="P48" s="16">
        <v>10000</v>
      </c>
      <c r="Q48" s="13">
        <f>Table1[[#This Row],[Quantity Sold ]]*Table1[[#This Row],[Unit Cost]]</f>
        <v>450000</v>
      </c>
      <c r="R48" s="13">
        <f>Table1[[#This Row],[Revenue]]-Table1[[#This Row],[Total Cost]]</f>
        <v>335700</v>
      </c>
      <c r="S48" s="2" t="s">
        <v>15</v>
      </c>
      <c r="T48" s="2" t="s">
        <v>28</v>
      </c>
      <c r="U48" s="2" t="str">
        <f>IF(Table1[[#This Row],[Revenue]]&gt;=1000000,"High Value","Standard")</f>
        <v>Standard</v>
      </c>
      <c r="V48" s="2" t="str">
        <f>IF(Table1[[#This Row],[Profit]]&gt;=250000,"High Profit","Standard Profit")</f>
        <v>High Profit</v>
      </c>
      <c r="W48" s="2"/>
    </row>
    <row r="49" spans="1:23" x14ac:dyDescent="0.25">
      <c r="A49" s="2" t="s">
        <v>84</v>
      </c>
      <c r="B49" s="6">
        <v>46167</v>
      </c>
      <c r="C49" s="6">
        <v>46170</v>
      </c>
      <c r="D49" s="6" t="str">
        <f>IF(Table1[[#This Row],[Ship Date]]&gt;=Table1[[#This Row],[Order Date]],"Valid","Invalid ship date")</f>
        <v>Valid</v>
      </c>
      <c r="E49" s="2" t="s">
        <v>46</v>
      </c>
      <c r="F49" s="2" t="s">
        <v>95</v>
      </c>
      <c r="G49" s="2" t="s">
        <v>47</v>
      </c>
      <c r="H49" s="2" t="s">
        <v>13</v>
      </c>
      <c r="I49" s="2" t="s">
        <v>14</v>
      </c>
      <c r="J49" s="2">
        <v>4</v>
      </c>
      <c r="K49" s="13">
        <v>450000</v>
      </c>
      <c r="L49" s="13">
        <f>Table1[[#This Row],[Quantity Sold ]]*Table1[[#This Row],[Unit Price]]</f>
        <v>1800000</v>
      </c>
      <c r="M49" s="4">
        <v>0.1</v>
      </c>
      <c r="N49" s="13">
        <f>Table1[[#This Row],[Gross Sales]]*Table1[[#This Row],[Discount %]]</f>
        <v>180000</v>
      </c>
      <c r="O49" s="13">
        <f>Table1[[#This Row],[Gross Sales]]-Table1[[#This Row],[Discount Amount]]</f>
        <v>1620000</v>
      </c>
      <c r="P49" s="16">
        <v>360000</v>
      </c>
      <c r="Q49" s="13">
        <f>Table1[[#This Row],[Quantity Sold ]]*Table1[[#This Row],[Unit Cost]]</f>
        <v>1440000</v>
      </c>
      <c r="R49" s="13">
        <f>Table1[[#This Row],[Revenue]]-Table1[[#This Row],[Total Cost]]</f>
        <v>180000</v>
      </c>
      <c r="S49" s="2" t="s">
        <v>22</v>
      </c>
      <c r="T49" s="2" t="s">
        <v>23</v>
      </c>
      <c r="U49" s="2" t="str">
        <f>IF(Table1[[#This Row],[Revenue]]&gt;=1000000,"High Value","Standard")</f>
        <v>High Value</v>
      </c>
      <c r="V49" s="2" t="str">
        <f>IF(Table1[[#This Row],[Profit]]&gt;=250000,"High Profit","Standard Profit")</f>
        <v>Standard Profit</v>
      </c>
      <c r="W49" s="2"/>
    </row>
    <row r="50" spans="1:23" x14ac:dyDescent="0.25">
      <c r="A50" s="2" t="s">
        <v>85</v>
      </c>
      <c r="B50" s="6">
        <v>46170</v>
      </c>
      <c r="C50" s="6">
        <v>46171</v>
      </c>
      <c r="D50" s="6" t="str">
        <f>IF(Table1[[#This Row],[Ship Date]]&gt;=Table1[[#This Row],[Order Date]],"Valid","Invalid ship date")</f>
        <v>Valid</v>
      </c>
      <c r="E50" s="2" t="s">
        <v>49</v>
      </c>
      <c r="F50" s="2" t="s">
        <v>91</v>
      </c>
      <c r="G50" s="2" t="s">
        <v>19</v>
      </c>
      <c r="H50" s="2" t="s">
        <v>38</v>
      </c>
      <c r="I50" s="2" t="s">
        <v>14</v>
      </c>
      <c r="J50" s="2">
        <v>6</v>
      </c>
      <c r="K50" s="13">
        <v>210000</v>
      </c>
      <c r="L50" s="13">
        <f>Table1[[#This Row],[Quantity Sold ]]*Table1[[#This Row],[Unit Price]]</f>
        <v>1260000</v>
      </c>
      <c r="M50" s="4">
        <v>0.05</v>
      </c>
      <c r="N50" s="13">
        <f>Table1[[#This Row],[Gross Sales]]*Table1[[#This Row],[Discount %]]</f>
        <v>63000</v>
      </c>
      <c r="O50" s="13">
        <f>Table1[[#This Row],[Gross Sales]]-Table1[[#This Row],[Discount Amount]]</f>
        <v>1197000</v>
      </c>
      <c r="P50" s="16">
        <v>155000</v>
      </c>
      <c r="Q50" s="13">
        <f>Table1[[#This Row],[Quantity Sold ]]*Table1[[#This Row],[Unit Cost]]</f>
        <v>930000</v>
      </c>
      <c r="R50" s="13">
        <f>Table1[[#This Row],[Revenue]]-Table1[[#This Row],[Total Cost]]</f>
        <v>267000</v>
      </c>
      <c r="S50" s="2" t="s">
        <v>15</v>
      </c>
      <c r="T50" s="2" t="s">
        <v>16</v>
      </c>
      <c r="U50" s="2" t="str">
        <f>IF(Table1[[#This Row],[Revenue]]&gt;=1000000,"High Value","Standard")</f>
        <v>High Value</v>
      </c>
      <c r="V50" s="2" t="str">
        <f>IF(Table1[[#This Row],[Profit]]&gt;=250000,"High Profit","Standard Profit")</f>
        <v>High Profit</v>
      </c>
      <c r="W50" s="2"/>
    </row>
    <row r="51" spans="1:23" x14ac:dyDescent="0.25">
      <c r="B51"/>
    </row>
    <row r="52" spans="1:23" x14ac:dyDescent="0.25">
      <c r="B52"/>
    </row>
    <row r="54" spans="1:23" x14ac:dyDescent="0.25">
      <c r="D54" s="14"/>
    </row>
    <row r="55" spans="1:23" x14ac:dyDescent="0.25">
      <c r="D55" s="14"/>
    </row>
    <row r="56" spans="1:23" x14ac:dyDescent="0.25">
      <c r="D56" s="14"/>
    </row>
    <row r="57" spans="1:23" x14ac:dyDescent="0.25">
      <c r="D57" s="14"/>
    </row>
    <row r="58" spans="1:23" x14ac:dyDescent="0.25">
      <c r="D58" s="14"/>
    </row>
    <row r="59" spans="1:23" x14ac:dyDescent="0.25">
      <c r="D59" s="14"/>
    </row>
    <row r="60" spans="1:23" x14ac:dyDescent="0.25">
      <c r="D60" s="14"/>
    </row>
  </sheetData>
  <phoneticPr fontId="2" type="noConversion"/>
  <conditionalFormatting sqref="A1:A1048576">
    <cfRule type="duplicateValues" dxfId="4" priority="5"/>
  </conditionalFormatting>
  <conditionalFormatting sqref="O2:O50">
    <cfRule type="cellIs" dxfId="3" priority="1" operator="greaterThan">
      <formula>1000000</formula>
    </cfRule>
    <cfRule type="cellIs" dxfId="2" priority="2" operator="greaterThan">
      <formula>"₦1,000,000"</formula>
    </cfRule>
  </conditionalFormatting>
  <conditionalFormatting sqref="X2:X4">
    <cfRule type="duplicateValues" dxfId="1" priority="4"/>
  </conditionalFormatting>
  <conditionalFormatting sqref="X5:X15 X17">
    <cfRule type="duplicateValues" dxfId="0" priority="3"/>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2CAA-748E-4BCB-AEFF-2B8B02BAD41C}">
  <dimension ref="A1:N52"/>
  <sheetViews>
    <sheetView tabSelected="1" zoomScale="89" zoomScaleNormal="100" workbookViewId="0">
      <pane ySplit="1" topLeftCell="A2" activePane="bottomLeft" state="frozen"/>
      <selection pane="bottomLeft" activeCell="P16" sqref="P16"/>
    </sheetView>
  </sheetViews>
  <sheetFormatPr defaultColWidth="11.42578125" defaultRowHeight="19.5" customHeight="1" x14ac:dyDescent="0.25"/>
  <cols>
    <col min="2" max="2" width="11.42578125" style="7"/>
    <col min="3" max="3" width="9.7109375" bestFit="1" customWidth="1"/>
    <col min="10" max="10" width="11.42578125" customWidth="1"/>
  </cols>
  <sheetData>
    <row r="1" spans="1:14" ht="27" customHeight="1" x14ac:dyDescent="0.25">
      <c r="A1" s="1" t="s">
        <v>0</v>
      </c>
      <c r="B1" s="5" t="s">
        <v>1</v>
      </c>
      <c r="C1" s="1" t="s">
        <v>87</v>
      </c>
      <c r="D1" s="1" t="s">
        <v>2</v>
      </c>
      <c r="E1" s="1" t="s">
        <v>90</v>
      </c>
      <c r="F1" s="1" t="s">
        <v>88</v>
      </c>
      <c r="G1" s="1" t="s">
        <v>3</v>
      </c>
      <c r="H1" s="1" t="s">
        <v>4</v>
      </c>
      <c r="I1" s="1" t="s">
        <v>103</v>
      </c>
      <c r="J1" s="1" t="s">
        <v>5</v>
      </c>
      <c r="K1" s="1" t="s">
        <v>6</v>
      </c>
      <c r="L1" s="1" t="s">
        <v>7</v>
      </c>
      <c r="M1" s="1" t="s">
        <v>8</v>
      </c>
      <c r="N1" s="1" t="s">
        <v>9</v>
      </c>
    </row>
    <row r="2" spans="1:14" ht="19.5" customHeight="1" x14ac:dyDescent="0.25">
      <c r="A2" s="2" t="s">
        <v>10</v>
      </c>
      <c r="B2" s="6">
        <v>46027</v>
      </c>
      <c r="C2" s="3">
        <v>46030</v>
      </c>
      <c r="D2" s="2" t="s">
        <v>11</v>
      </c>
      <c r="E2" s="2" t="s">
        <v>89</v>
      </c>
      <c r="F2" s="2" t="s">
        <v>12</v>
      </c>
      <c r="G2" s="2" t="s">
        <v>13</v>
      </c>
      <c r="H2" s="2" t="s">
        <v>14</v>
      </c>
      <c r="I2" s="2">
        <v>3</v>
      </c>
      <c r="J2" s="2">
        <v>450000</v>
      </c>
      <c r="K2" s="4">
        <v>0.05</v>
      </c>
      <c r="L2" s="2">
        <v>360000</v>
      </c>
      <c r="M2" s="2" t="s">
        <v>15</v>
      </c>
      <c r="N2" s="2" t="s">
        <v>16</v>
      </c>
    </row>
    <row r="3" spans="1:14" ht="19.5" customHeight="1" x14ac:dyDescent="0.25">
      <c r="A3" s="2" t="s">
        <v>17</v>
      </c>
      <c r="B3" s="6">
        <v>46028</v>
      </c>
      <c r="C3" s="6">
        <v>46029</v>
      </c>
      <c r="D3" s="2" t="s">
        <v>18</v>
      </c>
      <c r="E3" s="2" t="s">
        <v>91</v>
      </c>
      <c r="F3" s="2" t="s">
        <v>19</v>
      </c>
      <c r="G3" s="2" t="s">
        <v>20</v>
      </c>
      <c r="H3" s="2" t="s">
        <v>21</v>
      </c>
      <c r="I3" s="2">
        <v>8</v>
      </c>
      <c r="J3" s="2">
        <v>85000</v>
      </c>
      <c r="K3" s="4">
        <v>0.1</v>
      </c>
      <c r="L3" s="2">
        <v>60000</v>
      </c>
      <c r="M3" s="2" t="s">
        <v>22</v>
      </c>
      <c r="N3" s="2" t="s">
        <v>23</v>
      </c>
    </row>
    <row r="4" spans="1:14" ht="19.5" customHeight="1" x14ac:dyDescent="0.25">
      <c r="A4" s="2" t="s">
        <v>24</v>
      </c>
      <c r="B4" s="6">
        <v>46030</v>
      </c>
      <c r="C4" s="3">
        <v>46042</v>
      </c>
      <c r="D4" s="2" t="s">
        <v>25</v>
      </c>
      <c r="E4" s="2" t="s">
        <v>92</v>
      </c>
      <c r="F4" s="2" t="s">
        <v>26</v>
      </c>
      <c r="G4" s="2" t="s">
        <v>27</v>
      </c>
      <c r="H4" s="2" t="s">
        <v>14</v>
      </c>
      <c r="I4" s="2">
        <v>4</v>
      </c>
      <c r="J4" s="2">
        <v>175000</v>
      </c>
      <c r="K4" s="4">
        <v>0</v>
      </c>
      <c r="L4" s="2">
        <v>130000</v>
      </c>
      <c r="M4" s="2" t="s">
        <v>15</v>
      </c>
      <c r="N4" s="2" t="s">
        <v>28</v>
      </c>
    </row>
    <row r="5" spans="1:14" ht="19.5" customHeight="1" x14ac:dyDescent="0.25">
      <c r="A5" s="2"/>
      <c r="B5" s="6">
        <v>46032</v>
      </c>
      <c r="C5" s="6">
        <v>46033</v>
      </c>
      <c r="D5" s="2"/>
      <c r="E5" s="2" t="s">
        <v>89</v>
      </c>
      <c r="F5" s="2" t="s">
        <v>12</v>
      </c>
      <c r="G5" s="2" t="s">
        <v>30</v>
      </c>
      <c r="H5" s="2" t="s">
        <v>21</v>
      </c>
      <c r="I5" s="2">
        <v>6</v>
      </c>
      <c r="J5" s="2"/>
      <c r="K5" s="4">
        <v>0.05</v>
      </c>
      <c r="L5" s="2">
        <v>85000</v>
      </c>
      <c r="M5" s="2" t="s">
        <v>22</v>
      </c>
      <c r="N5" s="2" t="s">
        <v>16</v>
      </c>
    </row>
    <row r="6" spans="1:14" ht="19.5" customHeight="1" x14ac:dyDescent="0.25">
      <c r="A6" s="8" t="s">
        <v>31</v>
      </c>
      <c r="B6" s="9">
        <v>46034</v>
      </c>
      <c r="C6" s="10">
        <v>46039</v>
      </c>
      <c r="D6" s="8" t="s">
        <v>32</v>
      </c>
      <c r="E6" t="s">
        <v>93</v>
      </c>
      <c r="F6" s="8" t="s">
        <v>33</v>
      </c>
      <c r="G6" s="8" t="s">
        <v>34</v>
      </c>
      <c r="H6" s="8" t="s">
        <v>35</v>
      </c>
      <c r="I6" s="8">
        <v>15</v>
      </c>
      <c r="J6" s="8">
        <v>35000</v>
      </c>
      <c r="K6" s="11">
        <v>0.08</v>
      </c>
      <c r="L6" s="8">
        <v>22000</v>
      </c>
      <c r="M6" s="8" t="s">
        <v>15</v>
      </c>
      <c r="N6" s="8" t="s">
        <v>23</v>
      </c>
    </row>
    <row r="7" spans="1:14" ht="19.5" customHeight="1" x14ac:dyDescent="0.25">
      <c r="A7" s="2" t="s">
        <v>97</v>
      </c>
      <c r="B7" s="6">
        <v>46037</v>
      </c>
      <c r="C7" s="3">
        <v>46044</v>
      </c>
      <c r="D7" s="2" t="s">
        <v>36</v>
      </c>
      <c r="E7" s="2" t="s">
        <v>94</v>
      </c>
      <c r="F7" s="2" t="s">
        <v>37</v>
      </c>
      <c r="G7" s="2" t="s">
        <v>38</v>
      </c>
      <c r="H7" s="2" t="s">
        <v>14</v>
      </c>
      <c r="I7" s="2">
        <v>7</v>
      </c>
      <c r="J7" s="2">
        <v>210000</v>
      </c>
      <c r="K7" s="4">
        <v>0.1</v>
      </c>
      <c r="L7" s="2">
        <v>155000</v>
      </c>
      <c r="M7" s="2" t="s">
        <v>22</v>
      </c>
      <c r="N7" s="2" t="s">
        <v>16</v>
      </c>
    </row>
    <row r="8" spans="1:14" ht="19.5" customHeight="1" x14ac:dyDescent="0.25">
      <c r="A8" s="2" t="s">
        <v>39</v>
      </c>
      <c r="B8" s="6">
        <v>46040</v>
      </c>
      <c r="C8" s="3">
        <v>46052</v>
      </c>
      <c r="D8" s="2" t="s">
        <v>40</v>
      </c>
      <c r="E8" t="s">
        <v>96</v>
      </c>
      <c r="F8" s="2" t="s">
        <v>41</v>
      </c>
      <c r="G8" s="2" t="s">
        <v>42</v>
      </c>
      <c r="H8" s="2" t="s">
        <v>35</v>
      </c>
      <c r="I8" s="2">
        <v>12</v>
      </c>
      <c r="J8" s="2">
        <v>28000</v>
      </c>
      <c r="K8" s="4">
        <v>0.05</v>
      </c>
      <c r="L8" s="2">
        <v>18000</v>
      </c>
      <c r="M8" s="2" t="s">
        <v>15</v>
      </c>
      <c r="N8" s="2" t="s">
        <v>28</v>
      </c>
    </row>
    <row r="9" spans="1:14" ht="19.5" customHeight="1" x14ac:dyDescent="0.25">
      <c r="A9" s="2" t="s">
        <v>43</v>
      </c>
      <c r="B9" s="6">
        <v>46042</v>
      </c>
      <c r="C9" s="6">
        <v>46043</v>
      </c>
      <c r="D9" s="2" t="s">
        <v>98</v>
      </c>
      <c r="E9" s="2" t="s">
        <v>89</v>
      </c>
      <c r="F9" s="2" t="s">
        <v>12</v>
      </c>
      <c r="G9" s="2" t="s">
        <v>13</v>
      </c>
      <c r="H9" s="2" t="s">
        <v>14</v>
      </c>
      <c r="I9" s="2">
        <v>2</v>
      </c>
      <c r="J9" s="2">
        <v>450000</v>
      </c>
      <c r="K9" s="4">
        <v>0.12</v>
      </c>
      <c r="L9" s="2">
        <v>360000</v>
      </c>
      <c r="M9" s="2" t="s">
        <v>22</v>
      </c>
      <c r="N9" s="2" t="s">
        <v>23</v>
      </c>
    </row>
    <row r="10" spans="1:14" ht="19.5" customHeight="1" x14ac:dyDescent="0.25">
      <c r="A10" s="2" t="s">
        <v>45</v>
      </c>
      <c r="B10" s="6">
        <v>46044</v>
      </c>
      <c r="C10" s="6">
        <v>46045</v>
      </c>
      <c r="D10" s="2" t="s">
        <v>46</v>
      </c>
      <c r="E10" s="2" t="s">
        <v>95</v>
      </c>
      <c r="F10" s="2" t="s">
        <v>47</v>
      </c>
      <c r="G10" s="2" t="s">
        <v>30</v>
      </c>
      <c r="H10" s="2" t="s">
        <v>21</v>
      </c>
      <c r="I10" s="2">
        <v>5</v>
      </c>
      <c r="J10" s="2">
        <v>120000</v>
      </c>
      <c r="K10" s="4">
        <v>7.0000000000000007E-2</v>
      </c>
      <c r="L10" s="2">
        <v>85000</v>
      </c>
      <c r="M10" s="2" t="s">
        <v>15</v>
      </c>
      <c r="N10" s="2" t="s">
        <v>16</v>
      </c>
    </row>
    <row r="11" spans="1:14" ht="19.5" customHeight="1" x14ac:dyDescent="0.25">
      <c r="A11" s="2" t="s">
        <v>48</v>
      </c>
      <c r="B11" s="6">
        <v>46047</v>
      </c>
      <c r="C11" s="6">
        <v>46052</v>
      </c>
      <c r="D11" s="2" t="s">
        <v>49</v>
      </c>
      <c r="E11" s="2" t="s">
        <v>99</v>
      </c>
      <c r="F11" s="2" t="s">
        <v>19</v>
      </c>
      <c r="G11" s="2" t="s">
        <v>50</v>
      </c>
      <c r="H11" s="2" t="s">
        <v>35</v>
      </c>
      <c r="I11" s="2">
        <v>20</v>
      </c>
      <c r="J11" s="2">
        <v>18000</v>
      </c>
      <c r="K11" s="4">
        <v>0</v>
      </c>
      <c r="L11" s="2">
        <v>10000</v>
      </c>
      <c r="M11" s="2" t="s">
        <v>15</v>
      </c>
      <c r="N11" s="2" t="s">
        <v>28</v>
      </c>
    </row>
    <row r="12" spans="1:14" ht="19.5" customHeight="1" x14ac:dyDescent="0.25">
      <c r="A12" s="2" t="s">
        <v>51</v>
      </c>
      <c r="B12" s="6">
        <v>46050</v>
      </c>
      <c r="C12" s="6">
        <v>46051</v>
      </c>
      <c r="D12" s="2" t="s">
        <v>11</v>
      </c>
      <c r="E12" s="2" t="s">
        <v>89</v>
      </c>
      <c r="F12" s="2" t="s">
        <v>12</v>
      </c>
      <c r="G12" s="2" t="s">
        <v>27</v>
      </c>
      <c r="H12" s="2" t="s">
        <v>14</v>
      </c>
      <c r="I12" s="2">
        <v>3</v>
      </c>
      <c r="J12" s="2">
        <v>175000</v>
      </c>
      <c r="K12" s="4">
        <v>0.05</v>
      </c>
      <c r="L12" s="2">
        <v>130000</v>
      </c>
      <c r="M12" s="2" t="s">
        <v>22</v>
      </c>
      <c r="N12" s="2" t="s">
        <v>23</v>
      </c>
    </row>
    <row r="13" spans="1:14" ht="19.5" customHeight="1" x14ac:dyDescent="0.25">
      <c r="A13" s="2" t="s">
        <v>52</v>
      </c>
      <c r="B13" s="6">
        <v>46055</v>
      </c>
      <c r="C13" s="6">
        <v>46056</v>
      </c>
      <c r="D13" s="2" t="s">
        <v>18</v>
      </c>
      <c r="E13" s="2" t="s">
        <v>91</v>
      </c>
      <c r="F13" s="2" t="s">
        <v>19</v>
      </c>
      <c r="G13" s="2" t="s">
        <v>38</v>
      </c>
      <c r="H13" s="2" t="s">
        <v>14</v>
      </c>
      <c r="I13" s="2">
        <v>5</v>
      </c>
      <c r="J13" s="2">
        <v>210000</v>
      </c>
      <c r="K13" s="4">
        <v>0.1</v>
      </c>
      <c r="L13" s="2">
        <v>155000</v>
      </c>
      <c r="M13" s="2" t="s">
        <v>15</v>
      </c>
      <c r="N13" s="2" t="s">
        <v>16</v>
      </c>
    </row>
    <row r="14" spans="1:14" ht="19.5" customHeight="1" x14ac:dyDescent="0.25">
      <c r="A14" s="2" t="s">
        <v>53</v>
      </c>
      <c r="B14" s="6">
        <v>46057</v>
      </c>
      <c r="C14" s="6">
        <v>46075</v>
      </c>
      <c r="D14" s="2" t="s">
        <v>25</v>
      </c>
      <c r="E14" s="2" t="s">
        <v>100</v>
      </c>
      <c r="F14" s="2" t="s">
        <v>26</v>
      </c>
      <c r="G14" s="2" t="s">
        <v>20</v>
      </c>
      <c r="H14" s="2" t="s">
        <v>21</v>
      </c>
      <c r="I14" s="2">
        <v>10</v>
      </c>
      <c r="J14" s="2">
        <v>85000</v>
      </c>
      <c r="K14" s="4">
        <v>0.05</v>
      </c>
      <c r="L14" s="2">
        <v>60000</v>
      </c>
      <c r="M14" s="2" t="s">
        <v>22</v>
      </c>
      <c r="N14" s="2" t="s">
        <v>23</v>
      </c>
    </row>
    <row r="15" spans="1:14" ht="19.5" customHeight="1" x14ac:dyDescent="0.25">
      <c r="A15" s="2" t="s">
        <v>54</v>
      </c>
      <c r="B15" s="6">
        <v>46060</v>
      </c>
      <c r="C15" s="6">
        <v>46061</v>
      </c>
      <c r="D15" s="2" t="s">
        <v>29</v>
      </c>
      <c r="E15" s="2" t="s">
        <v>89</v>
      </c>
      <c r="F15" s="2" t="s">
        <v>12</v>
      </c>
      <c r="G15" s="2" t="s">
        <v>101</v>
      </c>
      <c r="H15" s="2" t="s">
        <v>35</v>
      </c>
      <c r="I15" s="2">
        <v>18</v>
      </c>
      <c r="J15" s="2" t="s">
        <v>102</v>
      </c>
      <c r="K15" s="4">
        <v>0.08</v>
      </c>
      <c r="L15" s="2">
        <v>22000</v>
      </c>
      <c r="M15" s="2" t="s">
        <v>15</v>
      </c>
      <c r="N15" s="2" t="s">
        <v>16</v>
      </c>
    </row>
    <row r="16" spans="1:14" ht="19.5" customHeight="1" x14ac:dyDescent="0.25">
      <c r="A16" s="2" t="s">
        <v>55</v>
      </c>
      <c r="B16" s="6">
        <v>46062</v>
      </c>
      <c r="C16" s="6">
        <v>46064</v>
      </c>
      <c r="D16" s="2" t="s">
        <v>32</v>
      </c>
      <c r="E16" t="s">
        <v>93</v>
      </c>
      <c r="F16" s="8" t="s">
        <v>33</v>
      </c>
      <c r="G16" s="2" t="s">
        <v>13</v>
      </c>
      <c r="H16" s="2" t="s">
        <v>14</v>
      </c>
      <c r="I16" s="2">
        <v>4</v>
      </c>
      <c r="J16" s="2">
        <v>450000</v>
      </c>
      <c r="K16" s="4">
        <v>0.15</v>
      </c>
      <c r="L16" s="2">
        <v>360000</v>
      </c>
      <c r="M16" s="2" t="s">
        <v>22</v>
      </c>
      <c r="N16" s="2" t="s">
        <v>23</v>
      </c>
    </row>
    <row r="17" spans="1:14" ht="19.5" customHeight="1" x14ac:dyDescent="0.25">
      <c r="A17" s="2" t="s">
        <v>56</v>
      </c>
      <c r="B17" s="6">
        <v>46064</v>
      </c>
      <c r="C17" s="6">
        <v>46068</v>
      </c>
      <c r="D17" s="2" t="s">
        <v>36</v>
      </c>
      <c r="E17" t="s">
        <v>94</v>
      </c>
      <c r="F17" s="2" t="s">
        <v>37</v>
      </c>
      <c r="G17" s="2" t="s">
        <v>42</v>
      </c>
      <c r="H17" s="2" t="s">
        <v>35</v>
      </c>
      <c r="I17" s="2">
        <v>25</v>
      </c>
      <c r="J17" s="2">
        <v>28000</v>
      </c>
      <c r="K17" s="4">
        <v>0.05</v>
      </c>
      <c r="L17" s="2">
        <v>18000</v>
      </c>
      <c r="M17" s="2" t="s">
        <v>15</v>
      </c>
      <c r="N17" s="2" t="s">
        <v>28</v>
      </c>
    </row>
    <row r="18" spans="1:14" ht="19.5" customHeight="1" x14ac:dyDescent="0.25">
      <c r="A18" s="2" t="s">
        <v>57</v>
      </c>
      <c r="B18" s="6">
        <v>46067</v>
      </c>
      <c r="C18" s="6">
        <v>46076</v>
      </c>
      <c r="D18" s="2" t="s">
        <v>40</v>
      </c>
      <c r="E18" t="s">
        <v>96</v>
      </c>
      <c r="F18" s="2" t="s">
        <v>41</v>
      </c>
      <c r="G18" s="2" t="s">
        <v>30</v>
      </c>
      <c r="H18" s="2" t="s">
        <v>21</v>
      </c>
      <c r="I18" s="2">
        <v>7</v>
      </c>
      <c r="J18" s="2">
        <v>120000</v>
      </c>
      <c r="K18" s="4">
        <v>0.1</v>
      </c>
      <c r="L18" s="2">
        <v>85000</v>
      </c>
      <c r="M18" s="2" t="s">
        <v>22</v>
      </c>
      <c r="N18" s="2" t="s">
        <v>16</v>
      </c>
    </row>
    <row r="19" spans="1:14" ht="19.5" customHeight="1" x14ac:dyDescent="0.25">
      <c r="A19" s="2" t="s">
        <v>58</v>
      </c>
      <c r="B19" s="6">
        <v>46070</v>
      </c>
      <c r="C19" s="6">
        <v>46071</v>
      </c>
      <c r="D19" s="2" t="s">
        <v>44</v>
      </c>
      <c r="E19" s="2" t="s">
        <v>89</v>
      </c>
      <c r="F19" s="2" t="s">
        <v>12</v>
      </c>
      <c r="G19" s="2" t="s">
        <v>50</v>
      </c>
      <c r="H19" s="2" t="s">
        <v>35</v>
      </c>
      <c r="I19" s="2">
        <v>30</v>
      </c>
      <c r="J19" s="2">
        <v>18000</v>
      </c>
      <c r="K19" s="4">
        <v>0.03</v>
      </c>
      <c r="L19" s="2">
        <v>10000</v>
      </c>
      <c r="M19" s="2" t="s">
        <v>15</v>
      </c>
      <c r="N19" s="2" t="s">
        <v>23</v>
      </c>
    </row>
    <row r="20" spans="1:14" ht="19.5" customHeight="1" x14ac:dyDescent="0.25">
      <c r="A20" s="2" t="s">
        <v>59</v>
      </c>
      <c r="B20" s="6">
        <v>46073</v>
      </c>
      <c r="C20" s="6">
        <v>46076</v>
      </c>
      <c r="D20" s="2" t="s">
        <v>46</v>
      </c>
      <c r="E20" s="2" t="s">
        <v>95</v>
      </c>
      <c r="F20" s="2" t="s">
        <v>47</v>
      </c>
      <c r="G20" s="2" t="s">
        <v>27</v>
      </c>
      <c r="H20" s="2" t="s">
        <v>14</v>
      </c>
      <c r="I20" s="2">
        <v>6</v>
      </c>
      <c r="J20" s="2">
        <v>175000</v>
      </c>
      <c r="K20" s="4">
        <v>0.08</v>
      </c>
      <c r="L20" s="2">
        <v>130000</v>
      </c>
      <c r="M20" s="2" t="s">
        <v>22</v>
      </c>
      <c r="N20" s="2" t="s">
        <v>16</v>
      </c>
    </row>
    <row r="21" spans="1:14" ht="19.5" customHeight="1" x14ac:dyDescent="0.25">
      <c r="A21" s="2" t="s">
        <v>60</v>
      </c>
      <c r="B21" s="6">
        <v>46076</v>
      </c>
      <c r="C21" s="6">
        <v>46086</v>
      </c>
      <c r="D21" s="2" t="s">
        <v>49</v>
      </c>
      <c r="E21" s="2" t="s">
        <v>91</v>
      </c>
      <c r="F21" s="2" t="s">
        <v>19</v>
      </c>
      <c r="G21" s="2" t="s">
        <v>38</v>
      </c>
      <c r="H21" s="2" t="s">
        <v>14</v>
      </c>
      <c r="I21" s="2">
        <v>3</v>
      </c>
      <c r="J21" s="2">
        <v>210000</v>
      </c>
      <c r="K21" s="4">
        <v>0.05</v>
      </c>
      <c r="L21" s="2">
        <v>155000</v>
      </c>
      <c r="M21" s="2" t="s">
        <v>15</v>
      </c>
      <c r="N21" s="2" t="s">
        <v>28</v>
      </c>
    </row>
    <row r="22" spans="1:14" ht="19.5" customHeight="1" x14ac:dyDescent="0.25">
      <c r="A22" s="2" t="s">
        <v>61</v>
      </c>
      <c r="B22" s="6">
        <v>46080</v>
      </c>
      <c r="C22" s="6">
        <v>46086</v>
      </c>
      <c r="D22" s="2" t="s">
        <v>11</v>
      </c>
      <c r="E22" s="2" t="s">
        <v>89</v>
      </c>
      <c r="F22" s="2" t="s">
        <v>12</v>
      </c>
      <c r="G22" s="2" t="s">
        <v>20</v>
      </c>
      <c r="H22" s="2" t="s">
        <v>21</v>
      </c>
      <c r="I22" s="2">
        <v>12</v>
      </c>
      <c r="J22" s="2">
        <v>85000</v>
      </c>
      <c r="K22" s="4">
        <v>7.0000000000000007E-2</v>
      </c>
      <c r="L22" s="2">
        <v>60000</v>
      </c>
      <c r="M22" s="2" t="s">
        <v>22</v>
      </c>
      <c r="N22" s="2" t="s">
        <v>23</v>
      </c>
    </row>
    <row r="23" spans="1:14" ht="19.5" customHeight="1" x14ac:dyDescent="0.25">
      <c r="A23" s="2" t="s">
        <v>62</v>
      </c>
      <c r="B23" s="6">
        <v>46083</v>
      </c>
      <c r="C23" s="6">
        <v>46084</v>
      </c>
      <c r="D23" s="2" t="s">
        <v>18</v>
      </c>
      <c r="E23" s="2" t="s">
        <v>91</v>
      </c>
      <c r="F23" s="2" t="s">
        <v>19</v>
      </c>
      <c r="G23" s="2" t="s">
        <v>13</v>
      </c>
      <c r="H23" s="2" t="s">
        <v>14</v>
      </c>
      <c r="I23" s="2">
        <v>5</v>
      </c>
      <c r="J23" s="2">
        <v>450000</v>
      </c>
      <c r="K23" s="4">
        <v>0.1</v>
      </c>
      <c r="L23" s="2">
        <v>360000</v>
      </c>
      <c r="M23" s="2" t="s">
        <v>15</v>
      </c>
      <c r="N23" s="2" t="s">
        <v>16</v>
      </c>
    </row>
    <row r="24" spans="1:14" ht="19.5" customHeight="1" x14ac:dyDescent="0.25">
      <c r="A24" s="2"/>
      <c r="B24" s="6">
        <v>46086</v>
      </c>
      <c r="C24" s="6">
        <v>46098</v>
      </c>
      <c r="D24" s="2"/>
      <c r="E24" s="2" t="s">
        <v>92</v>
      </c>
      <c r="F24" s="2" t="s">
        <v>26</v>
      </c>
      <c r="G24" s="2" t="s">
        <v>34</v>
      </c>
      <c r="H24" s="2"/>
      <c r="I24" s="2">
        <v>20</v>
      </c>
      <c r="J24" s="2">
        <v>35000</v>
      </c>
      <c r="K24" s="4">
        <v>0.05</v>
      </c>
      <c r="L24" s="2"/>
      <c r="M24" s="2" t="s">
        <v>15</v>
      </c>
      <c r="N24" s="2" t="s">
        <v>28</v>
      </c>
    </row>
    <row r="25" spans="1:14" ht="19.5" customHeight="1" x14ac:dyDescent="0.25">
      <c r="A25" s="2" t="s">
        <v>63</v>
      </c>
      <c r="B25" s="6">
        <v>46089</v>
      </c>
      <c r="C25" s="6">
        <v>46098</v>
      </c>
      <c r="D25" s="2" t="s">
        <v>29</v>
      </c>
      <c r="E25" s="2" t="s">
        <v>89</v>
      </c>
      <c r="F25" s="2" t="s">
        <v>12</v>
      </c>
      <c r="G25" s="2" t="s">
        <v>42</v>
      </c>
      <c r="H25" s="2" t="s">
        <v>35</v>
      </c>
      <c r="I25" s="2">
        <v>16</v>
      </c>
      <c r="J25" s="2">
        <v>28000</v>
      </c>
      <c r="K25" s="4">
        <v>0</v>
      </c>
      <c r="L25" s="2">
        <v>18000</v>
      </c>
      <c r="M25" s="2" t="s">
        <v>22</v>
      </c>
      <c r="N25" s="2" t="s">
        <v>23</v>
      </c>
    </row>
    <row r="26" spans="1:14" ht="19.5" customHeight="1" x14ac:dyDescent="0.25">
      <c r="A26" s="2" t="s">
        <v>64</v>
      </c>
      <c r="B26" s="6">
        <v>46092</v>
      </c>
      <c r="C26" s="6">
        <v>46098</v>
      </c>
      <c r="D26" s="2" t="s">
        <v>32</v>
      </c>
      <c r="E26" t="s">
        <v>93</v>
      </c>
      <c r="F26" s="8" t="s">
        <v>33</v>
      </c>
      <c r="G26" s="2" t="s">
        <v>30</v>
      </c>
      <c r="H26" s="2" t="s">
        <v>21</v>
      </c>
      <c r="I26" s="2">
        <v>9</v>
      </c>
      <c r="J26" s="2">
        <v>120000</v>
      </c>
      <c r="K26" s="4">
        <v>0.12</v>
      </c>
      <c r="L26" s="2">
        <v>85000</v>
      </c>
      <c r="M26" s="2" t="s">
        <v>22</v>
      </c>
      <c r="N26" s="2" t="s">
        <v>16</v>
      </c>
    </row>
    <row r="27" spans="1:14" ht="19.5" customHeight="1" x14ac:dyDescent="0.25">
      <c r="A27" s="2" t="s">
        <v>65</v>
      </c>
      <c r="B27" s="6">
        <v>46095</v>
      </c>
      <c r="C27" s="6">
        <v>46096</v>
      </c>
      <c r="D27" s="2" t="s">
        <v>36</v>
      </c>
      <c r="E27" t="s">
        <v>94</v>
      </c>
      <c r="F27" s="2" t="s">
        <v>37</v>
      </c>
      <c r="G27" s="2" t="s">
        <v>50</v>
      </c>
      <c r="H27" s="2" t="s">
        <v>35</v>
      </c>
      <c r="I27" s="2">
        <v>35</v>
      </c>
      <c r="J27" s="2">
        <v>18000</v>
      </c>
      <c r="K27" s="4">
        <v>0.05</v>
      </c>
      <c r="L27" s="2">
        <v>10000</v>
      </c>
      <c r="M27" s="2" t="s">
        <v>15</v>
      </c>
      <c r="N27" s="2" t="s">
        <v>28</v>
      </c>
    </row>
    <row r="28" spans="1:14" ht="19.5" customHeight="1" x14ac:dyDescent="0.25">
      <c r="A28" s="2" t="s">
        <v>66</v>
      </c>
      <c r="B28" s="6">
        <v>46098</v>
      </c>
      <c r="C28" s="6">
        <v>46099</v>
      </c>
      <c r="D28" s="2" t="s">
        <v>40</v>
      </c>
      <c r="E28" t="s">
        <v>96</v>
      </c>
      <c r="F28" s="2" t="s">
        <v>41</v>
      </c>
      <c r="G28" s="2" t="s">
        <v>27</v>
      </c>
      <c r="H28" s="2" t="s">
        <v>14</v>
      </c>
      <c r="I28" s="2">
        <v>2</v>
      </c>
      <c r="J28" s="2">
        <v>175000</v>
      </c>
      <c r="K28" s="4">
        <v>0</v>
      </c>
      <c r="L28" s="2">
        <v>130000</v>
      </c>
      <c r="M28" s="2" t="s">
        <v>22</v>
      </c>
      <c r="N28" s="2" t="s">
        <v>23</v>
      </c>
    </row>
    <row r="29" spans="1:14" ht="19.5" customHeight="1" x14ac:dyDescent="0.25">
      <c r="A29" s="2" t="s">
        <v>67</v>
      </c>
      <c r="B29" s="6">
        <v>46101</v>
      </c>
      <c r="C29" s="6">
        <v>46102</v>
      </c>
      <c r="D29" s="2" t="s">
        <v>44</v>
      </c>
      <c r="E29" s="2" t="s">
        <v>89</v>
      </c>
      <c r="F29" s="2" t="s">
        <v>12</v>
      </c>
      <c r="G29" s="2" t="s">
        <v>38</v>
      </c>
      <c r="H29" s="2" t="s">
        <v>14</v>
      </c>
      <c r="I29" s="2">
        <v>8</v>
      </c>
      <c r="J29" s="2">
        <v>210000</v>
      </c>
      <c r="K29" s="4">
        <v>0.1</v>
      </c>
      <c r="L29" s="2">
        <v>155000</v>
      </c>
      <c r="M29" s="2" t="s">
        <v>15</v>
      </c>
      <c r="N29" s="2" t="s">
        <v>16</v>
      </c>
    </row>
    <row r="30" spans="1:14" ht="19.5" customHeight="1" x14ac:dyDescent="0.25">
      <c r="A30" s="2" t="s">
        <v>68</v>
      </c>
      <c r="B30" s="6">
        <v>46104</v>
      </c>
      <c r="C30" s="6">
        <v>46105</v>
      </c>
      <c r="D30" s="2" t="s">
        <v>46</v>
      </c>
      <c r="E30" s="2" t="s">
        <v>95</v>
      </c>
      <c r="F30" s="2" t="s">
        <v>47</v>
      </c>
      <c r="G30" s="2" t="s">
        <v>13</v>
      </c>
      <c r="H30" s="2" t="s">
        <v>14</v>
      </c>
      <c r="I30" s="2">
        <v>3</v>
      </c>
      <c r="J30" s="2">
        <v>450000</v>
      </c>
      <c r="K30" s="4">
        <v>0.08</v>
      </c>
      <c r="L30" s="2">
        <v>360000</v>
      </c>
      <c r="M30" s="2" t="s">
        <v>22</v>
      </c>
      <c r="N30" s="2" t="s">
        <v>23</v>
      </c>
    </row>
    <row r="31" spans="1:14" ht="19.5" customHeight="1" x14ac:dyDescent="0.25">
      <c r="A31" s="2" t="s">
        <v>69</v>
      </c>
      <c r="B31" s="6">
        <v>46107</v>
      </c>
      <c r="C31" s="6">
        <v>46118</v>
      </c>
      <c r="D31" s="2" t="s">
        <v>49</v>
      </c>
      <c r="E31" s="2" t="s">
        <v>91</v>
      </c>
      <c r="F31" s="2" t="s">
        <v>19</v>
      </c>
      <c r="G31" s="2" t="s">
        <v>20</v>
      </c>
      <c r="H31" s="2" t="s">
        <v>21</v>
      </c>
      <c r="I31" s="2">
        <v>15</v>
      </c>
      <c r="J31" s="2">
        <v>85000</v>
      </c>
      <c r="K31" s="4">
        <v>0.05</v>
      </c>
      <c r="L31" s="2">
        <v>60000</v>
      </c>
      <c r="M31" s="2" t="s">
        <v>15</v>
      </c>
      <c r="N31" s="2" t="s">
        <v>28</v>
      </c>
    </row>
    <row r="32" spans="1:14" ht="19.5" customHeight="1" x14ac:dyDescent="0.25">
      <c r="A32" s="2" t="s">
        <v>70</v>
      </c>
      <c r="B32" s="6">
        <v>46111</v>
      </c>
      <c r="C32" s="6">
        <v>46118</v>
      </c>
      <c r="D32" s="2" t="s">
        <v>11</v>
      </c>
      <c r="E32" s="2" t="s">
        <v>89</v>
      </c>
      <c r="F32" s="2" t="s">
        <v>12</v>
      </c>
      <c r="G32" s="2" t="s">
        <v>34</v>
      </c>
      <c r="H32" s="2" t="s">
        <v>35</v>
      </c>
      <c r="I32" s="2">
        <v>22</v>
      </c>
      <c r="J32" s="2">
        <v>35000</v>
      </c>
      <c r="K32" s="4">
        <v>0.1</v>
      </c>
      <c r="L32" s="2">
        <v>22000</v>
      </c>
      <c r="M32" s="2" t="s">
        <v>15</v>
      </c>
      <c r="N32" s="2" t="s">
        <v>16</v>
      </c>
    </row>
    <row r="33" spans="1:14" ht="19.5" customHeight="1" x14ac:dyDescent="0.25">
      <c r="A33" s="2" t="s">
        <v>71</v>
      </c>
      <c r="B33" s="6">
        <v>46115</v>
      </c>
      <c r="C33" s="6">
        <v>46116</v>
      </c>
      <c r="D33" s="2" t="s">
        <v>18</v>
      </c>
      <c r="E33" s="2" t="s">
        <v>91</v>
      </c>
      <c r="F33" s="2" t="s">
        <v>19</v>
      </c>
      <c r="G33" s="2" t="s">
        <v>30</v>
      </c>
      <c r="H33" s="2" t="s">
        <v>21</v>
      </c>
      <c r="I33" s="2">
        <v>4</v>
      </c>
      <c r="J33" s="2">
        <v>120000</v>
      </c>
      <c r="K33" s="4">
        <v>7.0000000000000007E-2</v>
      </c>
      <c r="L33" s="2">
        <v>85000</v>
      </c>
      <c r="M33" s="2" t="s">
        <v>22</v>
      </c>
      <c r="N33" s="2" t="s">
        <v>23</v>
      </c>
    </row>
    <row r="34" spans="1:14" ht="19.5" customHeight="1" x14ac:dyDescent="0.25">
      <c r="A34" s="2" t="s">
        <v>72</v>
      </c>
      <c r="B34" s="6">
        <v>46118</v>
      </c>
      <c r="C34" s="6">
        <v>46116</v>
      </c>
      <c r="D34" s="2" t="s">
        <v>25</v>
      </c>
      <c r="E34" s="2" t="s">
        <v>92</v>
      </c>
      <c r="F34" s="2" t="s">
        <v>26</v>
      </c>
      <c r="G34" s="2" t="s">
        <v>42</v>
      </c>
      <c r="H34" s="2" t="s">
        <v>35</v>
      </c>
      <c r="I34" s="2">
        <v>28</v>
      </c>
      <c r="J34" s="2">
        <v>28000</v>
      </c>
      <c r="K34" s="4">
        <v>0.05</v>
      </c>
      <c r="L34" s="2">
        <v>18000</v>
      </c>
      <c r="M34" s="2" t="s">
        <v>15</v>
      </c>
      <c r="N34" s="2" t="s">
        <v>28</v>
      </c>
    </row>
    <row r="35" spans="1:14" ht="19.5" customHeight="1" x14ac:dyDescent="0.25">
      <c r="A35" s="2" t="s">
        <v>73</v>
      </c>
      <c r="B35" s="6">
        <v>46121</v>
      </c>
      <c r="C35" s="6">
        <v>46116</v>
      </c>
      <c r="D35" s="2" t="s">
        <v>29</v>
      </c>
      <c r="E35" s="2" t="s">
        <v>89</v>
      </c>
      <c r="F35" s="2" t="s">
        <v>12</v>
      </c>
      <c r="G35" s="2" t="s">
        <v>13</v>
      </c>
      <c r="H35" s="2" t="s">
        <v>14</v>
      </c>
      <c r="I35" s="2">
        <v>6</v>
      </c>
      <c r="J35" s="2">
        <v>450000</v>
      </c>
      <c r="K35" s="4">
        <v>0.12</v>
      </c>
      <c r="L35" s="2">
        <v>360000</v>
      </c>
      <c r="M35" s="2" t="s">
        <v>22</v>
      </c>
      <c r="N35" s="2" t="s">
        <v>16</v>
      </c>
    </row>
    <row r="36" spans="1:14" ht="19.5" customHeight="1" x14ac:dyDescent="0.25">
      <c r="A36" s="2"/>
      <c r="B36" s="6">
        <v>46124</v>
      </c>
      <c r="C36" s="6">
        <v>46125</v>
      </c>
      <c r="D36" s="2" t="s">
        <v>32</v>
      </c>
      <c r="E36" t="s">
        <v>93</v>
      </c>
      <c r="F36" s="8" t="s">
        <v>33</v>
      </c>
      <c r="G36" s="2" t="s">
        <v>38</v>
      </c>
      <c r="H36" s="2" t="s">
        <v>14</v>
      </c>
      <c r="I36" s="2">
        <v>4</v>
      </c>
      <c r="J36" s="2"/>
      <c r="K36" s="4">
        <v>0.05</v>
      </c>
      <c r="L36" s="2">
        <v>155000</v>
      </c>
      <c r="M36" s="2" t="s">
        <v>15</v>
      </c>
      <c r="N36" s="2"/>
    </row>
    <row r="37" spans="1:14" ht="19.5" customHeight="1" x14ac:dyDescent="0.25">
      <c r="A37" s="2" t="s">
        <v>74</v>
      </c>
      <c r="B37" s="6">
        <v>46127</v>
      </c>
      <c r="C37" s="6">
        <v>46128</v>
      </c>
      <c r="D37" s="2" t="s">
        <v>36</v>
      </c>
      <c r="E37" t="s">
        <v>94</v>
      </c>
      <c r="F37" s="2" t="s">
        <v>37</v>
      </c>
      <c r="G37" s="2" t="s">
        <v>27</v>
      </c>
      <c r="H37" s="2" t="s">
        <v>14</v>
      </c>
      <c r="I37" s="2">
        <v>5</v>
      </c>
      <c r="J37" s="2">
        <v>175000</v>
      </c>
      <c r="K37" s="4">
        <v>0.08</v>
      </c>
      <c r="L37" s="2">
        <v>130000</v>
      </c>
      <c r="M37" s="2" t="s">
        <v>22</v>
      </c>
      <c r="N37" s="2" t="s">
        <v>16</v>
      </c>
    </row>
    <row r="38" spans="1:14" ht="19.5" customHeight="1" x14ac:dyDescent="0.25">
      <c r="A38" s="2" t="s">
        <v>75</v>
      </c>
      <c r="B38" s="6">
        <v>46130</v>
      </c>
      <c r="C38" s="6">
        <v>46142</v>
      </c>
      <c r="D38" s="2" t="s">
        <v>40</v>
      </c>
      <c r="E38" t="s">
        <v>96</v>
      </c>
      <c r="F38" s="2" t="s">
        <v>41</v>
      </c>
      <c r="G38" s="2" t="s">
        <v>50</v>
      </c>
      <c r="H38" s="2" t="s">
        <v>35</v>
      </c>
      <c r="I38" s="2">
        <v>40</v>
      </c>
      <c r="J38" s="2">
        <v>18000</v>
      </c>
      <c r="K38" s="4">
        <v>0</v>
      </c>
      <c r="L38" s="2">
        <v>10000</v>
      </c>
      <c r="M38" s="2" t="s">
        <v>15</v>
      </c>
      <c r="N38" s="2" t="s">
        <v>28</v>
      </c>
    </row>
    <row r="39" spans="1:14" ht="19.5" customHeight="1" x14ac:dyDescent="0.25">
      <c r="A39" s="2" t="s">
        <v>76</v>
      </c>
      <c r="B39" s="6">
        <v>46133</v>
      </c>
      <c r="C39" s="6">
        <v>46133</v>
      </c>
      <c r="D39" s="2" t="s">
        <v>44</v>
      </c>
      <c r="E39" s="2" t="s">
        <v>89</v>
      </c>
      <c r="F39" s="2" t="s">
        <v>12</v>
      </c>
      <c r="G39" s="2" t="s">
        <v>20</v>
      </c>
      <c r="H39" s="2" t="s">
        <v>21</v>
      </c>
      <c r="I39" s="2">
        <v>11</v>
      </c>
      <c r="J39" s="2">
        <v>85000</v>
      </c>
      <c r="K39" s="4">
        <v>0.1</v>
      </c>
      <c r="L39" s="2">
        <v>60000</v>
      </c>
      <c r="M39" s="2" t="s">
        <v>22</v>
      </c>
      <c r="N39" s="2" t="s">
        <v>23</v>
      </c>
    </row>
    <row r="40" spans="1:14" ht="19.5" customHeight="1" x14ac:dyDescent="0.25">
      <c r="A40" s="2" t="s">
        <v>82</v>
      </c>
      <c r="B40" s="6">
        <v>46158</v>
      </c>
      <c r="C40" s="6">
        <v>46170</v>
      </c>
      <c r="D40" s="2" t="s">
        <v>36</v>
      </c>
      <c r="E40" t="s">
        <v>94</v>
      </c>
      <c r="F40" s="2" t="s">
        <v>37</v>
      </c>
      <c r="G40" s="2" t="s">
        <v>34</v>
      </c>
      <c r="H40" s="2" t="s">
        <v>35</v>
      </c>
      <c r="I40" s="2">
        <v>25</v>
      </c>
      <c r="J40" s="2">
        <v>35000</v>
      </c>
      <c r="K40" s="4">
        <v>0.05</v>
      </c>
      <c r="L40" s="2">
        <v>22000</v>
      </c>
      <c r="M40" s="2" t="s">
        <v>15</v>
      </c>
      <c r="N40" s="2" t="s">
        <v>23</v>
      </c>
    </row>
    <row r="41" spans="1:14" ht="19.5" customHeight="1" x14ac:dyDescent="0.25">
      <c r="A41" s="2" t="s">
        <v>77</v>
      </c>
      <c r="B41" s="6">
        <v>46139</v>
      </c>
      <c r="C41" s="6">
        <v>46142</v>
      </c>
      <c r="D41" s="2" t="s">
        <v>49</v>
      </c>
      <c r="E41" s="2" t="s">
        <v>91</v>
      </c>
      <c r="F41" s="2" t="s">
        <v>19</v>
      </c>
      <c r="G41" s="2" t="s">
        <v>30</v>
      </c>
      <c r="H41" s="2" t="s">
        <v>21</v>
      </c>
      <c r="I41" s="2">
        <v>8</v>
      </c>
      <c r="J41" s="2">
        <v>120000</v>
      </c>
      <c r="K41" s="4">
        <v>0.15</v>
      </c>
      <c r="L41" s="2">
        <v>85000</v>
      </c>
      <c r="M41" s="2" t="s">
        <v>22</v>
      </c>
      <c r="N41" s="2" t="s">
        <v>23</v>
      </c>
    </row>
    <row r="42" spans="1:14" ht="19.5" customHeight="1" x14ac:dyDescent="0.25">
      <c r="A42" s="2" t="s">
        <v>78</v>
      </c>
      <c r="B42" s="6">
        <v>46143</v>
      </c>
      <c r="C42" s="6">
        <v>46144</v>
      </c>
      <c r="D42" s="2" t="s">
        <v>11</v>
      </c>
      <c r="E42" s="2" t="s">
        <v>89</v>
      </c>
      <c r="F42" s="2" t="s">
        <v>12</v>
      </c>
      <c r="G42" s="2" t="s">
        <v>42</v>
      </c>
      <c r="H42" s="2" t="s">
        <v>35</v>
      </c>
      <c r="I42" s="2">
        <v>32</v>
      </c>
      <c r="J42" s="2">
        <v>28000</v>
      </c>
      <c r="K42" s="4">
        <v>0.05</v>
      </c>
      <c r="L42" s="2">
        <v>18000</v>
      </c>
      <c r="M42" s="2" t="s">
        <v>15</v>
      </c>
      <c r="N42" s="2" t="s">
        <v>28</v>
      </c>
    </row>
    <row r="43" spans="1:14" ht="19.5" customHeight="1" x14ac:dyDescent="0.25">
      <c r="A43" s="2" t="s">
        <v>79</v>
      </c>
      <c r="B43" s="6">
        <v>46146</v>
      </c>
      <c r="C43" s="6">
        <v>46147</v>
      </c>
      <c r="D43" s="2" t="s">
        <v>18</v>
      </c>
      <c r="E43" s="2" t="s">
        <v>91</v>
      </c>
      <c r="F43" s="2" t="s">
        <v>19</v>
      </c>
      <c r="G43" s="2" t="s">
        <v>27</v>
      </c>
      <c r="H43" s="2" t="s">
        <v>14</v>
      </c>
      <c r="I43" s="2">
        <v>4</v>
      </c>
      <c r="J43" s="2">
        <v>175000</v>
      </c>
      <c r="K43" s="4">
        <v>0.1</v>
      </c>
      <c r="L43" s="2">
        <v>130000</v>
      </c>
      <c r="M43" s="2" t="s">
        <v>22</v>
      </c>
      <c r="N43" s="2" t="s">
        <v>16</v>
      </c>
    </row>
    <row r="44" spans="1:14" ht="19.5" customHeight="1" x14ac:dyDescent="0.25">
      <c r="A44" s="2"/>
      <c r="B44" s="6">
        <v>46149</v>
      </c>
      <c r="C44" s="6">
        <v>46170</v>
      </c>
      <c r="D44" s="2" t="s">
        <v>25</v>
      </c>
      <c r="E44" s="2" t="s">
        <v>92</v>
      </c>
      <c r="F44" s="2" t="s">
        <v>26</v>
      </c>
      <c r="G44" s="2" t="s">
        <v>13</v>
      </c>
      <c r="H44" s="2" t="s">
        <v>14</v>
      </c>
      <c r="I44" s="2">
        <v>2</v>
      </c>
      <c r="J44" s="2">
        <v>450000</v>
      </c>
      <c r="K44" s="4">
        <v>0.05</v>
      </c>
      <c r="L44" s="2">
        <v>360000</v>
      </c>
      <c r="M44" s="2" t="s">
        <v>15</v>
      </c>
      <c r="N44" s="2" t="s">
        <v>23</v>
      </c>
    </row>
    <row r="45" spans="1:14" ht="19.5" customHeight="1" x14ac:dyDescent="0.25">
      <c r="A45" s="2" t="s">
        <v>80</v>
      </c>
      <c r="B45" s="6">
        <v>46152</v>
      </c>
      <c r="C45" s="6">
        <v>46155</v>
      </c>
      <c r="D45" s="2" t="s">
        <v>29</v>
      </c>
      <c r="E45" s="2" t="s">
        <v>89</v>
      </c>
      <c r="F45" s="2" t="s">
        <v>12</v>
      </c>
      <c r="G45" s="2" t="s">
        <v>38</v>
      </c>
      <c r="H45" s="2" t="s">
        <v>14</v>
      </c>
      <c r="I45" s="2">
        <v>9</v>
      </c>
      <c r="J45" s="2">
        <v>210000</v>
      </c>
      <c r="K45" s="4">
        <v>0.08</v>
      </c>
      <c r="L45" s="2">
        <v>155000</v>
      </c>
      <c r="M45" s="2" t="s">
        <v>22</v>
      </c>
      <c r="N45" s="2" t="s">
        <v>16</v>
      </c>
    </row>
    <row r="46" spans="1:14" ht="19.5" customHeight="1" x14ac:dyDescent="0.25">
      <c r="A46" s="2" t="s">
        <v>81</v>
      </c>
      <c r="B46" s="6">
        <v>46155</v>
      </c>
      <c r="C46" s="6">
        <v>46152</v>
      </c>
      <c r="D46" s="2" t="s">
        <v>32</v>
      </c>
      <c r="E46" t="s">
        <v>93</v>
      </c>
      <c r="F46" s="8" t="s">
        <v>33</v>
      </c>
      <c r="G46" s="2" t="s">
        <v>20</v>
      </c>
      <c r="H46" s="2" t="s">
        <v>21</v>
      </c>
      <c r="I46" s="2">
        <v>13</v>
      </c>
      <c r="J46" s="2">
        <v>85000</v>
      </c>
      <c r="K46" s="4">
        <v>7.0000000000000007E-2</v>
      </c>
      <c r="L46" s="2">
        <v>60000</v>
      </c>
      <c r="M46" s="2" t="s">
        <v>15</v>
      </c>
      <c r="N46" s="2" t="s">
        <v>28</v>
      </c>
    </row>
    <row r="47" spans="1:14" ht="19.5" customHeight="1" x14ac:dyDescent="0.25">
      <c r="A47" s="2" t="s">
        <v>82</v>
      </c>
      <c r="B47" s="6">
        <v>46158</v>
      </c>
      <c r="C47" s="6">
        <v>46170</v>
      </c>
      <c r="D47" s="2" t="s">
        <v>36</v>
      </c>
      <c r="E47" t="s">
        <v>94</v>
      </c>
      <c r="F47" s="2" t="s">
        <v>37</v>
      </c>
      <c r="G47" s="2" t="s">
        <v>34</v>
      </c>
      <c r="H47" s="2" t="s">
        <v>35</v>
      </c>
      <c r="I47" s="2">
        <v>25</v>
      </c>
      <c r="J47" s="2">
        <v>35000</v>
      </c>
      <c r="K47" s="4">
        <v>0.05</v>
      </c>
      <c r="L47" s="2">
        <v>22000</v>
      </c>
      <c r="M47" s="2" t="s">
        <v>15</v>
      </c>
      <c r="N47" s="2" t="s">
        <v>23</v>
      </c>
    </row>
    <row r="48" spans="1:14" ht="19.5" customHeight="1" x14ac:dyDescent="0.25">
      <c r="A48" s="2" t="s">
        <v>83</v>
      </c>
      <c r="B48" s="6">
        <v>46161</v>
      </c>
      <c r="C48" s="6">
        <v>46162</v>
      </c>
      <c r="D48" s="2" t="s">
        <v>40</v>
      </c>
      <c r="E48" t="s">
        <v>96</v>
      </c>
      <c r="F48" s="2" t="s">
        <v>41</v>
      </c>
      <c r="G48" s="2" t="s">
        <v>30</v>
      </c>
      <c r="H48" s="2" t="s">
        <v>21</v>
      </c>
      <c r="I48" s="2">
        <v>5</v>
      </c>
      <c r="J48" s="2">
        <v>120000</v>
      </c>
      <c r="K48" s="4">
        <v>0.1</v>
      </c>
      <c r="L48" s="2">
        <v>85000</v>
      </c>
      <c r="M48" s="2" t="s">
        <v>22</v>
      </c>
      <c r="N48" s="2" t="s">
        <v>16</v>
      </c>
    </row>
    <row r="49" spans="1:14" ht="19.5" customHeight="1" x14ac:dyDescent="0.25">
      <c r="A49" s="2" t="s">
        <v>84</v>
      </c>
      <c r="B49" s="6">
        <v>46164</v>
      </c>
      <c r="C49" s="6">
        <v>46165</v>
      </c>
      <c r="D49" s="2" t="s">
        <v>44</v>
      </c>
      <c r="E49" s="2" t="s">
        <v>89</v>
      </c>
      <c r="F49" s="2" t="s">
        <v>12</v>
      </c>
      <c r="G49" s="2" t="s">
        <v>50</v>
      </c>
      <c r="H49" s="2" t="s">
        <v>35</v>
      </c>
      <c r="I49" s="2">
        <v>45</v>
      </c>
      <c r="J49" s="2">
        <v>18000</v>
      </c>
      <c r="K49" s="4">
        <v>0.03</v>
      </c>
      <c r="L49" s="2">
        <v>10000</v>
      </c>
      <c r="M49" s="2" t="s">
        <v>15</v>
      </c>
      <c r="N49" s="2" t="s">
        <v>28</v>
      </c>
    </row>
    <row r="50" spans="1:14" ht="19.5" customHeight="1" x14ac:dyDescent="0.25">
      <c r="A50" s="2" t="s">
        <v>85</v>
      </c>
      <c r="B50" s="6">
        <v>46167</v>
      </c>
      <c r="C50" s="6">
        <v>46170</v>
      </c>
      <c r="D50" s="2" t="s">
        <v>46</v>
      </c>
      <c r="E50" s="2" t="s">
        <v>95</v>
      </c>
      <c r="F50" s="2" t="s">
        <v>47</v>
      </c>
      <c r="G50" s="2" t="s">
        <v>13</v>
      </c>
      <c r="H50" s="2" t="s">
        <v>14</v>
      </c>
      <c r="I50" s="2">
        <v>4</v>
      </c>
      <c r="J50" s="2">
        <v>450000</v>
      </c>
      <c r="K50" s="4">
        <v>0.1</v>
      </c>
      <c r="L50" s="2">
        <v>360000</v>
      </c>
      <c r="M50" s="2" t="s">
        <v>22</v>
      </c>
      <c r="N50" s="2" t="s">
        <v>23</v>
      </c>
    </row>
    <row r="51" spans="1:14" ht="19.5" customHeight="1" x14ac:dyDescent="0.25">
      <c r="A51" s="2" t="s">
        <v>86</v>
      </c>
      <c r="B51" s="6">
        <v>46170</v>
      </c>
      <c r="C51" s="6">
        <v>46171</v>
      </c>
      <c r="D51" s="2" t="s">
        <v>49</v>
      </c>
      <c r="E51" s="2" t="s">
        <v>91</v>
      </c>
      <c r="F51" s="2" t="s">
        <v>19</v>
      </c>
      <c r="G51" s="2" t="s">
        <v>38</v>
      </c>
      <c r="H51" s="2" t="s">
        <v>14</v>
      </c>
      <c r="I51" s="2">
        <v>6</v>
      </c>
      <c r="J51" s="2">
        <v>210000</v>
      </c>
      <c r="K51" s="4">
        <v>0.05</v>
      </c>
      <c r="L51" s="2">
        <v>155000</v>
      </c>
      <c r="M51" s="2" t="s">
        <v>15</v>
      </c>
      <c r="N51" s="2" t="s">
        <v>16</v>
      </c>
    </row>
    <row r="52" spans="1:14" ht="19.5" customHeight="1" x14ac:dyDescent="0.25">
      <c r="A52" s="2" t="s">
        <v>80</v>
      </c>
      <c r="B52" s="6">
        <v>46152</v>
      </c>
      <c r="C52" s="6">
        <v>46155</v>
      </c>
      <c r="D52" s="2" t="s">
        <v>29</v>
      </c>
      <c r="E52" s="2" t="s">
        <v>89</v>
      </c>
      <c r="F52" s="2" t="s">
        <v>12</v>
      </c>
      <c r="G52" s="2" t="s">
        <v>38</v>
      </c>
      <c r="H52" s="2" t="s">
        <v>14</v>
      </c>
      <c r="I52" s="2">
        <v>9</v>
      </c>
      <c r="J52" s="2">
        <v>210000</v>
      </c>
      <c r="K52" s="4">
        <v>0.08</v>
      </c>
      <c r="L52" s="2">
        <v>155000</v>
      </c>
      <c r="M52" s="2" t="s">
        <v>22</v>
      </c>
      <c r="N52" s="2" t="s">
        <v>16</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9A168F-21F7-40DE-846C-D940C1C623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Raw Data</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monsurat surajudeen</dc:creator>
  <cp:lastModifiedBy>Muhammed Soliu Abdullahi</cp:lastModifiedBy>
  <cp:lastPrinted>2026-09-22T15:34:36Z</cp:lastPrinted>
  <dcterms:created xsi:type="dcterms:W3CDTF">2026-08-19T17:20:58Z</dcterms:created>
  <dcterms:modified xsi:type="dcterms:W3CDTF">2026-09-27T13:11:59Z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2026-08-19T17:21:30Z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799b848d-ccfa-4e7e-a733-65008075adca</vt:lpwstr>
  </property>
  <property fmtid="{D5CDD505-2E9C-101B-9397-08002B2CF9AE}" pid="7" name="MSIP_Label_defa4170-0d19-0005-0004-bc88714345d2_ActionId">
    <vt:lpwstr>9864b861-cacb-4d34-bcbb-36ec18091623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